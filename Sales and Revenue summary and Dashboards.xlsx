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E:\Final test\Excel\"/>
    </mc:Choice>
  </mc:AlternateContent>
  <xr:revisionPtr revIDLastSave="0" documentId="13_ncr:1_{C38409F3-95D4-4C4E-9692-8E5D6611DB06}" xr6:coauthVersionLast="47" xr6:coauthVersionMax="47" xr10:uidLastSave="{00000000-0000-0000-0000-000000000000}"/>
  <bookViews>
    <workbookView xWindow="-108" yWindow="-108" windowWidth="23256" windowHeight="13896" activeTab="1" xr2:uid="{DAD657B5-3CD9-477F-8E58-E26ADCD95A7F}"/>
  </bookViews>
  <sheets>
    <sheet name="Data" sheetId="1" r:id="rId1"/>
    <sheet name="Sales Performance Analysis" sheetId="3" r:id="rId2"/>
    <sheet name="Monthly Trend Analysis" sheetId="2" r:id="rId3"/>
    <sheet name="Regional &amp; Country Analysis" sheetId="11" r:id="rId4"/>
    <sheet name="Salesperson Performance" sheetId="14" r:id="rId5"/>
    <sheet name="Product &amp; Category Insights" sheetId="16" r:id="rId6"/>
    <sheet name="Sales Performance Dashboard" sheetId="18" r:id="rId7"/>
    <sheet name="Business Questions" sheetId="19" r:id="rId8"/>
  </sheets>
  <definedNames>
    <definedName name="Slicer_Category">#N/A</definedName>
    <definedName name="Slicer_Region">#N/A</definedName>
    <definedName name="Slicer_Salesperson">#N/A</definedName>
    <definedName name="Slicer_Salesperson1">#N/A</definedName>
  </definedNames>
  <calcPr calcId="191029"/>
  <pivotCaches>
    <pivotCache cacheId="162"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F21" i="16"/>
  <c r="F15" i="16"/>
  <c r="F8" i="18"/>
  <c r="F19" i="16"/>
  <c r="F16" i="16"/>
  <c r="F20" i="16"/>
  <c r="F17" i="16"/>
  <c r="L8" i="18"/>
  <c r="F14" i="16"/>
  <c r="I13" i="18"/>
  <c r="F18" i="16"/>
</calcChain>
</file>

<file path=xl/sharedStrings.xml><?xml version="1.0" encoding="utf-8"?>
<sst xmlns="http://schemas.openxmlformats.org/spreadsheetml/2006/main" count="555" uniqueCount="100">
  <si>
    <t>OrderID</t>
  </si>
  <si>
    <t>OrderDate</t>
  </si>
  <si>
    <t>Region</t>
  </si>
  <si>
    <t>Country</t>
  </si>
  <si>
    <t>Product</t>
  </si>
  <si>
    <t>Category</t>
  </si>
  <si>
    <t>Salesperson</t>
  </si>
  <si>
    <t>Quantity</t>
  </si>
  <si>
    <t>UnitPrice</t>
  </si>
  <si>
    <t>TotalSales</t>
  </si>
  <si>
    <t>Profit</t>
  </si>
  <si>
    <t>North America</t>
  </si>
  <si>
    <t>USA</t>
  </si>
  <si>
    <t>Laptop</t>
  </si>
  <si>
    <t>Electronics</t>
  </si>
  <si>
    <t>Alice</t>
  </si>
  <si>
    <t>Europe</t>
  </si>
  <si>
    <t>Germany</t>
  </si>
  <si>
    <t>Smartphone</t>
  </si>
  <si>
    <t>Bob</t>
  </si>
  <si>
    <t>Asia</t>
  </si>
  <si>
    <t>India</t>
  </si>
  <si>
    <t>Tablet</t>
  </si>
  <si>
    <t>Charlie</t>
  </si>
  <si>
    <t>Canada</t>
  </si>
  <si>
    <t>Office Chair</t>
  </si>
  <si>
    <t>Furniture</t>
  </si>
  <si>
    <t>France</t>
  </si>
  <si>
    <t>Desk</t>
  </si>
  <si>
    <t>Japan</t>
  </si>
  <si>
    <t>Monitor</t>
  </si>
  <si>
    <t>UK</t>
  </si>
  <si>
    <t>Printer</t>
  </si>
  <si>
    <t>Bookshelf</t>
  </si>
  <si>
    <t>Mexico</t>
  </si>
  <si>
    <t>Spain</t>
  </si>
  <si>
    <t>China</t>
  </si>
  <si>
    <t>Italy</t>
  </si>
  <si>
    <t>Singapore</t>
  </si>
  <si>
    <t>Netherlands</t>
  </si>
  <si>
    <t>Sweden</t>
  </si>
  <si>
    <t>ProfitMargin(%)</t>
  </si>
  <si>
    <t>Sum of TotalSales</t>
  </si>
  <si>
    <t>Sum of Profit</t>
  </si>
  <si>
    <t>Average of Quantity</t>
  </si>
  <si>
    <t>Row Labels</t>
  </si>
  <si>
    <t>Grand Total</t>
  </si>
  <si>
    <t>Highest Selling Category</t>
  </si>
  <si>
    <t>Top 3 Countries by Profit</t>
  </si>
  <si>
    <t>Total Sales</t>
  </si>
  <si>
    <t>Jan</t>
  </si>
  <si>
    <t>Feb</t>
  </si>
  <si>
    <t>Mar</t>
  </si>
  <si>
    <t>Apr</t>
  </si>
  <si>
    <t>May</t>
  </si>
  <si>
    <t>Jun</t>
  </si>
  <si>
    <t>Jul</t>
  </si>
  <si>
    <t>Aug</t>
  </si>
  <si>
    <t>Sep</t>
  </si>
  <si>
    <t>Best Performing Month</t>
  </si>
  <si>
    <t>Lowest Profit Month</t>
  </si>
  <si>
    <t>Monthly Trend Analysis</t>
  </si>
  <si>
    <t>|</t>
  </si>
  <si>
    <t>Sales Performance Analysis</t>
  </si>
  <si>
    <t>Top 5 Products by Sales</t>
  </si>
  <si>
    <t>Total Profit</t>
  </si>
  <si>
    <t>Average Order Value</t>
  </si>
  <si>
    <t>Sales by Region</t>
  </si>
  <si>
    <t>Country vs Sales</t>
  </si>
  <si>
    <t>Most Profitable Region</t>
  </si>
  <si>
    <t>Underperforming Countries</t>
  </si>
  <si>
    <t>Regional &amp; Country Analysis</t>
  </si>
  <si>
    <t>Salesperson Performance</t>
  </si>
  <si>
    <t>Salesperson Ranking</t>
  </si>
  <si>
    <t xml:space="preserve">Average profit per order </t>
  </si>
  <si>
    <t>Average of Profit</t>
  </si>
  <si>
    <t>Salesperson with highest profit margin</t>
  </si>
  <si>
    <t>Best performer</t>
  </si>
  <si>
    <t>Max of ProfitMargin(%)</t>
  </si>
  <si>
    <t>Product &amp; Category Insights</t>
  </si>
  <si>
    <t>Sales Contribution %</t>
  </si>
  <si>
    <t>Profit Margin by Product</t>
  </si>
  <si>
    <t>Profit Margin</t>
  </si>
  <si>
    <t>High-volume, low-margin products</t>
  </si>
  <si>
    <t>Low-volume, high-margin products</t>
  </si>
  <si>
    <t>💰 Total Sales</t>
  </si>
  <si>
    <t>📈 Total Profit</t>
  </si>
  <si>
    <t>📊 Profit Margin %</t>
  </si>
  <si>
    <t>Prepared by: Sneha Bhokare | Excel Dashboard | Data Analyst Portfolio | 2026</t>
  </si>
  <si>
    <t>1.Which region should receive more investment?</t>
  </si>
  <si>
    <t>2.Which products should be promoted or discontinued?</t>
  </si>
  <si>
    <t>3.Who are the top-performing salespeople?</t>
  </si>
  <si>
    <t>4.Are Electronics more profitable than Furniture?</t>
  </si>
  <si>
    <t>5.What seasonal trends exist in sales?</t>
  </si>
  <si>
    <r>
      <t xml:space="preserve"> </t>
    </r>
    <r>
      <rPr>
        <b/>
        <sz val="11"/>
        <color theme="1"/>
        <rFont val="Aptos Narrow"/>
        <family val="2"/>
        <scheme val="minor"/>
      </rPr>
      <t>Asia</t>
    </r>
    <r>
      <rPr>
        <sz val="11"/>
        <color theme="1"/>
        <rFont val="Aptos Narrow"/>
        <family val="2"/>
        <scheme val="minor"/>
      </rPr>
      <t xml:space="preserve"> is the highest-performing region and deserves more investment</t>
    </r>
  </si>
  <si>
    <r>
      <rPr>
        <b/>
        <sz val="11"/>
        <color theme="1"/>
        <rFont val="Aptos Narrow"/>
        <family val="2"/>
        <scheme val="minor"/>
      </rPr>
      <t xml:space="preserve">Smartphones </t>
    </r>
    <r>
      <rPr>
        <sz val="11"/>
        <color theme="1"/>
        <rFont val="Aptos Narrow"/>
        <family val="2"/>
        <scheme val="minor"/>
      </rPr>
      <t>are the best-selling product and should remain the primary focus.</t>
    </r>
  </si>
  <si>
    <r>
      <t xml:space="preserve"> </t>
    </r>
    <r>
      <rPr>
        <b/>
        <sz val="11"/>
        <color theme="1"/>
        <rFont val="Aptos Narrow"/>
        <family val="2"/>
        <scheme val="minor"/>
      </rPr>
      <t>Charlie</t>
    </r>
    <r>
      <rPr>
        <sz val="11"/>
        <color theme="1"/>
        <rFont val="Aptos Narrow"/>
        <family val="2"/>
        <scheme val="minor"/>
      </rPr>
      <t xml:space="preserve"> is the top-performing salesperson.</t>
    </r>
  </si>
  <si>
    <r>
      <t xml:space="preserve"> </t>
    </r>
    <r>
      <rPr>
        <b/>
        <sz val="11"/>
        <color theme="1"/>
        <rFont val="Aptos Narrow"/>
        <family val="2"/>
        <scheme val="minor"/>
      </rPr>
      <t>Electronics</t>
    </r>
    <r>
      <rPr>
        <sz val="11"/>
        <color theme="1"/>
        <rFont val="Aptos Narrow"/>
        <family val="2"/>
        <scheme val="minor"/>
      </rPr>
      <t xml:space="preserve"> outperform Furniture in both sales and profitability.</t>
    </r>
  </si>
  <si>
    <t>Sales show a strong seasonal peak in July and August, with August recording the highest sales (₹34,445).</t>
  </si>
  <si>
    <t xml:space="preserve">Business Questions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</si>
</sst>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_ &quot;₹&quot;\ * #,##0_ ;_ &quot;₹&quot;\ * \-#,##0_ ;_ &quot;₹&quot;\ * &quot;-&quot;??_ ;_ @_ "/>
    <numFmt numFmtId="165" formatCode="&quot;₹&quot;\ #,##0"/>
  </numFmts>
  <fonts count="11" x14ac:knownFonts="1">
    <font>
      <sz val="11"/>
      <color theme="1"/>
      <name val="Aptos Narrow"/>
      <family val="2"/>
      <scheme val="minor"/>
    </font>
    <font>
      <sz val="11"/>
      <color theme="1"/>
      <name val="Aptos Narrow"/>
      <family val="2"/>
      <scheme val="minor"/>
    </font>
    <font>
      <sz val="12"/>
      <color theme="1"/>
      <name val="Aptos Narrow"/>
      <family val="2"/>
      <scheme val="minor"/>
    </font>
    <font>
      <sz val="16"/>
      <color theme="1"/>
      <name val="Aptos Narrow"/>
      <family val="2"/>
      <scheme val="minor"/>
    </font>
    <font>
      <b/>
      <sz val="11"/>
      <color theme="1"/>
      <name val="Aptos Narrow"/>
      <family val="2"/>
      <scheme val="minor"/>
    </font>
    <font>
      <sz val="28"/>
      <color theme="1"/>
      <name val="Aptos Narrow"/>
      <family val="2"/>
    </font>
    <font>
      <sz val="10"/>
      <color theme="1"/>
      <name val="Courier New"/>
      <family val="3"/>
    </font>
    <font>
      <sz val="22"/>
      <color theme="1"/>
      <name val="Algerian"/>
      <family val="5"/>
    </font>
    <font>
      <sz val="14"/>
      <color theme="1"/>
      <name val="Arial Black"/>
      <family val="2"/>
    </font>
    <font>
      <b/>
      <sz val="12"/>
      <color theme="1"/>
      <name val="Aptos"/>
      <family val="2"/>
    </font>
    <font>
      <b/>
      <sz val="12"/>
      <color theme="1"/>
      <name val="Algerian"/>
      <family val="5"/>
    </font>
  </fonts>
  <fills count="10">
    <fill>
      <patternFill patternType="none"/>
    </fill>
    <fill>
      <patternFill patternType="gray125"/>
    </fill>
    <fill>
      <patternFill patternType="solid">
        <fgColor rgb="FF00B05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7" tint="0.59999389629810485"/>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93">
    <xf numFmtId="0" fontId="0" fillId="0" borderId="0" xfId="0"/>
    <xf numFmtId="14" fontId="2" fillId="0" borderId="1" xfId="0" applyNumberFormat="1" applyFont="1" applyBorder="1"/>
    <xf numFmtId="164" fontId="2" fillId="0" borderId="1" xfId="1" applyNumberFormat="1" applyFont="1" applyBorder="1"/>
    <xf numFmtId="14" fontId="0" fillId="0" borderId="0" xfId="0" applyNumberFormat="1"/>
    <xf numFmtId="1" fontId="0" fillId="0" borderId="0" xfId="0" applyNumberFormat="1"/>
    <xf numFmtId="49" fontId="2" fillId="0" borderId="1" xfId="0" applyNumberFormat="1" applyFont="1" applyBorder="1"/>
    <xf numFmtId="49" fontId="0" fillId="0" borderId="0" xfId="0" applyNumberFormat="1"/>
    <xf numFmtId="0" fontId="2" fillId="0" borderId="1" xfId="0" applyFont="1" applyBorder="1"/>
    <xf numFmtId="10" fontId="0" fillId="0" borderId="0" xfId="0" applyNumberFormat="1"/>
    <xf numFmtId="1" fontId="2" fillId="0" borderId="2" xfId="0" applyNumberFormat="1" applyFont="1" applyBorder="1"/>
    <xf numFmtId="10" fontId="0" fillId="0" borderId="1" xfId="0" applyNumberFormat="1" applyBorder="1"/>
    <xf numFmtId="10" fontId="0" fillId="0" borderId="3" xfId="0" applyNumberFormat="1" applyBorder="1"/>
    <xf numFmtId="1" fontId="3" fillId="2" borderId="4" xfId="0" applyNumberFormat="1" applyFont="1" applyFill="1" applyBorder="1"/>
    <xf numFmtId="14" fontId="3" fillId="2" borderId="5" xfId="0" applyNumberFormat="1" applyFont="1" applyFill="1" applyBorder="1"/>
    <xf numFmtId="49" fontId="3" fillId="2" borderId="5" xfId="0" applyNumberFormat="1" applyFont="1" applyFill="1" applyBorder="1"/>
    <xf numFmtId="0" fontId="3" fillId="2" borderId="5" xfId="0" applyFont="1" applyFill="1" applyBorder="1"/>
    <xf numFmtId="10" fontId="3" fillId="2" borderId="6" xfId="0" applyNumberFormat="1" applyFont="1" applyFill="1" applyBorder="1"/>
    <xf numFmtId="1" fontId="2" fillId="0" borderId="7" xfId="0" applyNumberFormat="1" applyFont="1" applyBorder="1"/>
    <xf numFmtId="14" fontId="2" fillId="0" borderId="8" xfId="0" applyNumberFormat="1" applyFont="1" applyBorder="1"/>
    <xf numFmtId="49" fontId="2" fillId="0" borderId="8" xfId="0" applyNumberFormat="1" applyFont="1" applyBorder="1"/>
    <xf numFmtId="0" fontId="2" fillId="0" borderId="8" xfId="0" applyFont="1" applyBorder="1"/>
    <xf numFmtId="164" fontId="2" fillId="0" borderId="8" xfId="1" applyNumberFormat="1" applyFont="1" applyBorder="1"/>
    <xf numFmtId="10" fontId="0" fillId="0" borderId="9" xfId="0" applyNumberFormat="1" applyBorder="1"/>
    <xf numFmtId="164" fontId="0" fillId="0" borderId="0" xfId="0" applyNumberFormat="1"/>
    <xf numFmtId="0" fontId="0" fillId="0" borderId="0" xfId="0" pivotButton="1"/>
    <xf numFmtId="0" fontId="0" fillId="0" borderId="0" xfId="0" applyAlignment="1">
      <alignment horizontal="left"/>
    </xf>
    <xf numFmtId="0" fontId="4" fillId="0" borderId="0" xfId="0" applyFont="1"/>
    <xf numFmtId="0" fontId="0" fillId="3" borderId="0" xfId="0" applyFill="1" applyAlignment="1">
      <alignment horizontal="center" vertical="center"/>
    </xf>
    <xf numFmtId="0" fontId="0" fillId="0" borderId="0" xfId="0" applyAlignment="1">
      <alignment horizontal="center" vertical="center"/>
    </xf>
    <xf numFmtId="0" fontId="0" fillId="0" borderId="1" xfId="0" pivotButton="1" applyBorder="1"/>
    <xf numFmtId="0" fontId="0" fillId="0" borderId="1" xfId="0" applyBorder="1"/>
    <xf numFmtId="0" fontId="0" fillId="0" borderId="1" xfId="0" applyBorder="1" applyAlignment="1">
      <alignment horizontal="left"/>
    </xf>
    <xf numFmtId="164" fontId="0" fillId="0" borderId="1" xfId="0" applyNumberFormat="1" applyBorder="1"/>
    <xf numFmtId="0" fontId="0" fillId="3" borderId="1" xfId="0" applyFill="1" applyBorder="1" applyAlignment="1">
      <alignment horizontal="center"/>
    </xf>
    <xf numFmtId="0" fontId="6" fillId="0" borderId="0" xfId="0" applyFont="1" applyAlignment="1">
      <alignment horizontal="left" vertical="center" indent="13"/>
    </xf>
    <xf numFmtId="9" fontId="0" fillId="0" borderId="0" xfId="2" applyFont="1"/>
    <xf numFmtId="9" fontId="0" fillId="0" borderId="1" xfId="2" applyFont="1" applyBorder="1"/>
    <xf numFmtId="9" fontId="0" fillId="0" borderId="1" xfId="0" applyNumberFormat="1" applyBorder="1"/>
    <xf numFmtId="0" fontId="4" fillId="5" borderId="1" xfId="0" applyFont="1" applyFill="1" applyBorder="1"/>
    <xf numFmtId="0" fontId="0" fillId="6" borderId="13" xfId="0" applyFill="1" applyBorder="1"/>
    <xf numFmtId="0" fontId="0" fillId="6" borderId="14" xfId="0" applyFill="1" applyBorder="1"/>
    <xf numFmtId="0" fontId="0" fillId="6" borderId="15" xfId="0" applyFill="1" applyBorder="1"/>
    <xf numFmtId="0" fontId="0" fillId="6" borderId="16" xfId="0" applyFill="1" applyBorder="1"/>
    <xf numFmtId="0" fontId="0" fillId="6" borderId="17" xfId="0" applyFill="1" applyBorder="1"/>
    <xf numFmtId="0" fontId="0" fillId="6" borderId="18" xfId="0" applyFill="1" applyBorder="1"/>
    <xf numFmtId="0" fontId="0" fillId="6" borderId="19" xfId="0" applyFill="1" applyBorder="1"/>
    <xf numFmtId="0" fontId="0" fillId="6" borderId="0" xfId="0" applyFill="1"/>
    <xf numFmtId="0" fontId="0" fillId="0" borderId="16" xfId="0" applyBorder="1"/>
    <xf numFmtId="0" fontId="0" fillId="0" borderId="17" xfId="0" applyBorder="1"/>
    <xf numFmtId="0" fontId="9" fillId="0" borderId="0" xfId="0" applyFont="1" applyAlignment="1">
      <alignment vertical="center"/>
    </xf>
    <xf numFmtId="0" fontId="0" fillId="0" borderId="0" xfId="0" applyAlignment="1">
      <alignment horizontal="left" vertical="center" indent="1"/>
    </xf>
    <xf numFmtId="0" fontId="0" fillId="0" borderId="18" xfId="0" applyBorder="1"/>
    <xf numFmtId="0" fontId="0" fillId="0" borderId="19" xfId="0" applyBorder="1"/>
    <xf numFmtId="0" fontId="0" fillId="0" borderId="20" xfId="0" applyBorder="1"/>
    <xf numFmtId="0" fontId="5" fillId="4" borderId="9" xfId="0" applyFont="1" applyFill="1" applyBorder="1" applyAlignment="1">
      <alignment horizontal="center" vertical="center"/>
    </xf>
    <xf numFmtId="0" fontId="5" fillId="4" borderId="10"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6" xfId="0" applyFont="1" applyFill="1" applyBorder="1" applyAlignment="1">
      <alignment horizontal="center" vertical="center"/>
    </xf>
    <xf numFmtId="0" fontId="5" fillId="4" borderId="11" xfId="0" applyFont="1" applyFill="1" applyBorder="1" applyAlignment="1">
      <alignment horizontal="center" vertical="center"/>
    </xf>
    <xf numFmtId="0" fontId="5" fillId="4" borderId="4"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12" xfId="0" applyFont="1" applyFill="1" applyBorder="1" applyAlignment="1">
      <alignment horizontal="center" vertical="center"/>
    </xf>
    <xf numFmtId="0" fontId="5" fillId="4" borderId="2" xfId="0" applyFont="1" applyFill="1" applyBorder="1" applyAlignment="1">
      <alignment horizontal="center" vertical="center"/>
    </xf>
    <xf numFmtId="0" fontId="0" fillId="6" borderId="19" xfId="0" applyFill="1" applyBorder="1" applyAlignment="1">
      <alignment horizontal="right"/>
    </xf>
    <xf numFmtId="0" fontId="0" fillId="6" borderId="20" xfId="0" applyFill="1" applyBorder="1" applyAlignment="1">
      <alignment horizontal="right"/>
    </xf>
    <xf numFmtId="165" fontId="7" fillId="7" borderId="13" xfId="0" applyNumberFormat="1" applyFont="1" applyFill="1" applyBorder="1" applyAlignment="1">
      <alignment horizontal="center" vertical="center"/>
    </xf>
    <xf numFmtId="165" fontId="7" fillId="7" borderId="14" xfId="0" applyNumberFormat="1" applyFont="1" applyFill="1" applyBorder="1" applyAlignment="1">
      <alignment horizontal="center" vertical="center"/>
    </xf>
    <xf numFmtId="165" fontId="7" fillId="7" borderId="15" xfId="0" applyNumberFormat="1" applyFont="1" applyFill="1" applyBorder="1" applyAlignment="1">
      <alignment horizontal="center" vertical="center"/>
    </xf>
    <xf numFmtId="165" fontId="7" fillId="7" borderId="18" xfId="0" applyNumberFormat="1" applyFont="1" applyFill="1" applyBorder="1" applyAlignment="1">
      <alignment horizontal="center" vertical="center"/>
    </xf>
    <xf numFmtId="165" fontId="7" fillId="7" borderId="19" xfId="0" applyNumberFormat="1" applyFont="1" applyFill="1" applyBorder="1" applyAlignment="1">
      <alignment horizontal="center" vertical="center"/>
    </xf>
    <xf numFmtId="165" fontId="7" fillId="7" borderId="20" xfId="0" applyNumberFormat="1" applyFont="1" applyFill="1" applyBorder="1" applyAlignment="1">
      <alignment horizontal="center" vertical="center"/>
    </xf>
    <xf numFmtId="10" fontId="7" fillId="7" borderId="13" xfId="0" applyNumberFormat="1" applyFont="1" applyFill="1" applyBorder="1" applyAlignment="1">
      <alignment horizontal="center" vertical="center"/>
    </xf>
    <xf numFmtId="10" fontId="7" fillId="7" borderId="14" xfId="0" applyNumberFormat="1" applyFont="1" applyFill="1" applyBorder="1" applyAlignment="1">
      <alignment horizontal="center" vertical="center"/>
    </xf>
    <xf numFmtId="10" fontId="7" fillId="7" borderId="15" xfId="0" applyNumberFormat="1" applyFont="1" applyFill="1" applyBorder="1" applyAlignment="1">
      <alignment horizontal="center" vertical="center"/>
    </xf>
    <xf numFmtId="10" fontId="7" fillId="7" borderId="18" xfId="0" applyNumberFormat="1" applyFont="1" applyFill="1" applyBorder="1" applyAlignment="1">
      <alignment horizontal="center" vertical="center"/>
    </xf>
    <xf numFmtId="10" fontId="7" fillId="7" borderId="19" xfId="0" applyNumberFormat="1" applyFont="1" applyFill="1" applyBorder="1" applyAlignment="1">
      <alignment horizontal="center" vertical="center"/>
    </xf>
    <xf numFmtId="10" fontId="7" fillId="7" borderId="20" xfId="0" applyNumberFormat="1" applyFont="1" applyFill="1" applyBorder="1" applyAlignment="1">
      <alignment horizontal="center" vertical="center"/>
    </xf>
    <xf numFmtId="0" fontId="8" fillId="8" borderId="13" xfId="0" applyFont="1" applyFill="1" applyBorder="1" applyAlignment="1">
      <alignment horizontal="center" vertical="center"/>
    </xf>
    <xf numFmtId="0" fontId="8" fillId="8" borderId="14" xfId="0" applyFont="1" applyFill="1" applyBorder="1" applyAlignment="1">
      <alignment horizontal="center" vertical="center"/>
    </xf>
    <xf numFmtId="0" fontId="8" fillId="8" borderId="15" xfId="0" applyFont="1" applyFill="1" applyBorder="1" applyAlignment="1">
      <alignment horizontal="center" vertical="center"/>
    </xf>
    <xf numFmtId="0" fontId="8" fillId="8" borderId="18" xfId="0" applyFont="1" applyFill="1" applyBorder="1" applyAlignment="1">
      <alignment horizontal="center" vertical="center"/>
    </xf>
    <xf numFmtId="0" fontId="8" fillId="8" borderId="19" xfId="0" applyFont="1" applyFill="1" applyBorder="1" applyAlignment="1">
      <alignment horizontal="center" vertical="center"/>
    </xf>
    <xf numFmtId="0" fontId="8" fillId="8" borderId="20" xfId="0" applyFont="1" applyFill="1" applyBorder="1" applyAlignment="1">
      <alignment horizontal="center" vertical="center"/>
    </xf>
    <xf numFmtId="0" fontId="0" fillId="8" borderId="0" xfId="0" applyFill="1" applyAlignment="1">
      <alignment horizontal="left" vertical="top" wrapText="1"/>
    </xf>
    <xf numFmtId="0" fontId="10" fillId="9" borderId="13" xfId="0" applyFont="1" applyFill="1" applyBorder="1" applyAlignment="1">
      <alignment horizontal="center" vertical="center"/>
    </xf>
    <xf numFmtId="0" fontId="10" fillId="9" borderId="14" xfId="0" applyFont="1" applyFill="1" applyBorder="1" applyAlignment="1">
      <alignment horizontal="center" vertical="center"/>
    </xf>
    <xf numFmtId="0" fontId="10" fillId="9" borderId="15" xfId="0" applyFont="1" applyFill="1" applyBorder="1" applyAlignment="1">
      <alignment horizontal="center" vertical="center"/>
    </xf>
    <xf numFmtId="0" fontId="10" fillId="9" borderId="18" xfId="0" applyFont="1" applyFill="1" applyBorder="1" applyAlignment="1">
      <alignment horizontal="center" vertical="center"/>
    </xf>
    <xf numFmtId="0" fontId="10" fillId="9" borderId="19" xfId="0" applyFont="1" applyFill="1" applyBorder="1" applyAlignment="1">
      <alignment horizontal="center" vertical="center"/>
    </xf>
    <xf numFmtId="0" fontId="10" fillId="9" borderId="20" xfId="0" applyFont="1" applyFill="1" applyBorder="1" applyAlignment="1">
      <alignment horizontal="center" vertical="center"/>
    </xf>
    <xf numFmtId="0" fontId="0" fillId="8" borderId="0" xfId="0" applyFill="1" applyAlignment="1">
      <alignment horizontal="left"/>
    </xf>
    <xf numFmtId="0" fontId="0" fillId="0" borderId="1" xfId="0" applyNumberFormat="1" applyBorder="1"/>
  </cellXfs>
  <cellStyles count="3">
    <cellStyle name="Currency" xfId="1" builtinId="4"/>
    <cellStyle name="Normal" xfId="0" builtinId="0"/>
    <cellStyle name="Percent" xfId="2" builtinId="5"/>
  </cellStyles>
  <dxfs count="1231">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Aptos Narrow"/>
        <family val="2"/>
        <scheme val="minor"/>
      </font>
      <numFmt numFmtId="164" formatCode="_ &quot;₹&quot;\ * #,##0_ ;_ &quot;₹&quot;\ * \-#,##0_ ;_ &quot;₹&quot;\ * &quot;-&quot;??_ ;_ @_ "/>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family val="2"/>
        <scheme val="minor"/>
      </font>
      <numFmt numFmtId="164" formatCode="_ &quot;₹&quot;\ * #,##0_ ;_ &quot;₹&quot;\ * \-#,##0_ ;_ &quot;₹&quot;\ * &quot;-&quot;??_ ;_ @_ "/>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family val="2"/>
        <scheme val="minor"/>
      </font>
      <numFmt numFmtId="164" formatCode="_ &quot;₹&quot;\ * #,##0_ ;_ &quot;₹&quot;\ * \-#,##0_ ;_ &quot;₹&quot;\ * &quot;-&quot;??_ ;_ @_ "/>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family val="2"/>
        <scheme val="minor"/>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family val="2"/>
        <scheme val="minor"/>
      </font>
      <numFmt numFmtId="30" formatCode="@"/>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family val="2"/>
        <scheme val="minor"/>
      </font>
      <numFmt numFmtId="30" formatCode="@"/>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family val="2"/>
        <scheme val="minor"/>
      </font>
      <numFmt numFmtId="30" formatCode="@"/>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family val="2"/>
        <scheme val="minor"/>
      </font>
      <numFmt numFmtId="30" formatCode="@"/>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family val="2"/>
        <scheme val="minor"/>
      </font>
      <numFmt numFmtId="30" formatCode="@"/>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family val="2"/>
        <scheme val="minor"/>
      </font>
      <numFmt numFmtId="19" formatCode="dd/mm/yyyy"/>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family val="2"/>
        <scheme val="minor"/>
      </font>
      <numFmt numFmtId="1" formatCode="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Narrow"/>
        <family val="2"/>
        <scheme val="minor"/>
      </font>
    </dxf>
    <dxf>
      <border outline="0">
        <bottom style="thin">
          <color indexed="64"/>
        </bottom>
      </border>
    </dxf>
    <dxf>
      <font>
        <b val="0"/>
        <i val="0"/>
        <strike val="0"/>
        <condense val="0"/>
        <extend val="0"/>
        <outline val="0"/>
        <shadow val="0"/>
        <u val="none"/>
        <vertAlign val="baseline"/>
        <sz val="16"/>
        <color theme="1"/>
        <name val="Aptos Narrow"/>
        <family val="2"/>
        <scheme val="minor"/>
      </font>
      <fill>
        <patternFill patternType="solid">
          <fgColor indexed="64"/>
          <bgColor rgb="FF00B050"/>
        </patternFill>
      </fill>
      <border diagonalUp="0" diagonalDown="0" outline="0">
        <left style="thin">
          <color indexed="64"/>
        </left>
        <right style="thin">
          <color indexed="64"/>
        </right>
        <top/>
        <bottom/>
      </border>
    </dxf>
  </dxfs>
  <tableStyles count="0" defaultTableStyle="TableStyleMedium2" defaultPivotStyle="PivotStyleLight16"/>
  <colors>
    <mruColors>
      <color rgb="FFF5F7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Revenue Final Test.xlsx]Sales Performance Analysis!PivotTable2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Top Products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90721578650837"/>
          <c:y val="0.42215910887645069"/>
          <c:w val="0.73573676327108328"/>
          <c:h val="0.34606813079088006"/>
        </c:manualLayout>
      </c:layout>
      <c:barChart>
        <c:barDir val="col"/>
        <c:grouping val="clustered"/>
        <c:varyColors val="0"/>
        <c:ser>
          <c:idx val="0"/>
          <c:order val="0"/>
          <c:tx>
            <c:strRef>
              <c:f>'Sales Performance Analysis'!$D$11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Performance Analysis'!$C$12:$C$16</c:f>
              <c:strCache>
                <c:ptCount val="5"/>
                <c:pt idx="0">
                  <c:v>Smartphone</c:v>
                </c:pt>
                <c:pt idx="1">
                  <c:v>Laptop</c:v>
                </c:pt>
                <c:pt idx="2">
                  <c:v>Tablet</c:v>
                </c:pt>
                <c:pt idx="3">
                  <c:v>Monitor</c:v>
                </c:pt>
                <c:pt idx="4">
                  <c:v>Desk</c:v>
                </c:pt>
              </c:strCache>
            </c:strRef>
          </c:cat>
          <c:val>
            <c:numRef>
              <c:f>'Sales Performance Analysis'!$D$12:$D$16</c:f>
              <c:numCache>
                <c:formatCode>_ "₹"\ * #,##0_ ;_ "₹"\ * \-#,##0_ ;_ "₹"\ * "-"??_ ;_ @_ </c:formatCode>
                <c:ptCount val="5"/>
                <c:pt idx="0">
                  <c:v>54180</c:v>
                </c:pt>
                <c:pt idx="1">
                  <c:v>24370</c:v>
                </c:pt>
                <c:pt idx="2">
                  <c:v>19430</c:v>
                </c:pt>
                <c:pt idx="3">
                  <c:v>11950</c:v>
                </c:pt>
                <c:pt idx="4">
                  <c:v>10450</c:v>
                </c:pt>
              </c:numCache>
            </c:numRef>
          </c:val>
          <c:extLst>
            <c:ext xmlns:c16="http://schemas.microsoft.com/office/drawing/2014/chart" uri="{C3380CC4-5D6E-409C-BE32-E72D297353CC}">
              <c16:uniqueId val="{00000000-6C87-4EB2-9FC0-522C1B501639}"/>
            </c:ext>
          </c:extLst>
        </c:ser>
        <c:dLbls>
          <c:showLegendKey val="0"/>
          <c:showVal val="0"/>
          <c:showCatName val="0"/>
          <c:showSerName val="0"/>
          <c:showPercent val="0"/>
          <c:showBubbleSize val="0"/>
        </c:dLbls>
        <c:gapWidth val="100"/>
        <c:overlap val="-24"/>
        <c:axId val="1716008000"/>
        <c:axId val="1716009440"/>
      </c:barChart>
      <c:catAx>
        <c:axId val="17160080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6009440"/>
        <c:crosses val="autoZero"/>
        <c:auto val="1"/>
        <c:lblAlgn val="ctr"/>
        <c:lblOffset val="100"/>
        <c:noMultiLvlLbl val="0"/>
      </c:catAx>
      <c:valAx>
        <c:axId val="1716009440"/>
        <c:scaling>
          <c:orientation val="minMax"/>
        </c:scaling>
        <c:delete val="0"/>
        <c:axPos val="l"/>
        <c:majorGridlines>
          <c:spPr>
            <a:ln w="9525" cap="flat" cmpd="sng" algn="ctr">
              <a:solidFill>
                <a:schemeClr val="lt1">
                  <a:lumMod val="95000"/>
                  <a:alpha val="10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6008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Revenue Final Test.xlsx]Monthly Trend Analysis!PivotTable5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 Analysis'!$M$6</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'Monthly Trend Analysis'!$L$7:$L$16</c:f>
              <c:strCache>
                <c:ptCount val="9"/>
                <c:pt idx="0">
                  <c:v>Jan</c:v>
                </c:pt>
                <c:pt idx="1">
                  <c:v>Feb</c:v>
                </c:pt>
                <c:pt idx="2">
                  <c:v>Mar</c:v>
                </c:pt>
                <c:pt idx="3">
                  <c:v>Apr</c:v>
                </c:pt>
                <c:pt idx="4">
                  <c:v>May</c:v>
                </c:pt>
                <c:pt idx="5">
                  <c:v>Jun</c:v>
                </c:pt>
                <c:pt idx="6">
                  <c:v>Jul</c:v>
                </c:pt>
                <c:pt idx="7">
                  <c:v>Aug</c:v>
                </c:pt>
                <c:pt idx="8">
                  <c:v>Sep</c:v>
                </c:pt>
              </c:strCache>
            </c:strRef>
          </c:cat>
          <c:val>
            <c:numRef>
              <c:f>'Monthly Trend Analysis'!$M$7:$M$16</c:f>
              <c:numCache>
                <c:formatCode>_ "₹"\ * #,##0_ ;_ "₹"\ * \-#,##0_ ;_ "₹"\ * "-"??_ ;_ @_ </c:formatCode>
                <c:ptCount val="9"/>
                <c:pt idx="0">
                  <c:v>7300</c:v>
                </c:pt>
                <c:pt idx="1">
                  <c:v>4180</c:v>
                </c:pt>
                <c:pt idx="2">
                  <c:v>10260</c:v>
                </c:pt>
                <c:pt idx="3">
                  <c:v>10930</c:v>
                </c:pt>
                <c:pt idx="4">
                  <c:v>10360</c:v>
                </c:pt>
                <c:pt idx="5">
                  <c:v>9540</c:v>
                </c:pt>
                <c:pt idx="6">
                  <c:v>28149</c:v>
                </c:pt>
                <c:pt idx="7">
                  <c:v>34445</c:v>
                </c:pt>
                <c:pt idx="8">
                  <c:v>22235</c:v>
                </c:pt>
              </c:numCache>
            </c:numRef>
          </c:val>
          <c:smooth val="0"/>
          <c:extLst>
            <c:ext xmlns:c16="http://schemas.microsoft.com/office/drawing/2014/chart" uri="{C3380CC4-5D6E-409C-BE32-E72D297353CC}">
              <c16:uniqueId val="{00000000-C52C-41C0-8B95-01346B9CDA86}"/>
            </c:ext>
          </c:extLst>
        </c:ser>
        <c:dLbls>
          <c:showLegendKey val="0"/>
          <c:showVal val="0"/>
          <c:showCatName val="0"/>
          <c:showSerName val="0"/>
          <c:showPercent val="0"/>
          <c:showBubbleSize val="0"/>
        </c:dLbls>
        <c:marker val="1"/>
        <c:smooth val="0"/>
        <c:axId val="1715990720"/>
        <c:axId val="1716005600"/>
      </c:lineChart>
      <c:catAx>
        <c:axId val="1715990720"/>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6005600"/>
        <c:crosses val="autoZero"/>
        <c:auto val="1"/>
        <c:lblAlgn val="ctr"/>
        <c:lblOffset val="100"/>
        <c:noMultiLvlLbl val="0"/>
      </c:catAx>
      <c:valAx>
        <c:axId val="1716005600"/>
        <c:scaling>
          <c:orientation val="minMax"/>
        </c:scaling>
        <c:delete val="0"/>
        <c:axPos val="l"/>
        <c:majorGridlines>
          <c:spPr>
            <a:ln w="9525" cap="flat" cmpd="sng" algn="ctr">
              <a:solidFill>
                <a:schemeClr val="lt1">
                  <a:lumMod val="95000"/>
                  <a:alpha val="10000"/>
                </a:schemeClr>
              </a:solidFill>
              <a:round/>
            </a:ln>
            <a:effectLst/>
          </c:spPr>
        </c:majorGridlines>
        <c:numFmt formatCode="_ &quot;₹&quot;\ * #,##0_ ;_ &quot;₹&quot;\ * \-#,##0_ ;_ &quot;₹&quot;\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599072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Revenue Final Test.xlsx]Regional &amp; Country Analysis!PivotTable10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Sales by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619269466316708"/>
          <c:y val="0.27460447652376785"/>
          <c:w val="0.65498097112860887"/>
          <c:h val="0.61836650627004963"/>
        </c:manualLayout>
      </c:layout>
      <c:barChart>
        <c:barDir val="bar"/>
        <c:grouping val="clustered"/>
        <c:varyColors val="0"/>
        <c:ser>
          <c:idx val="0"/>
          <c:order val="0"/>
          <c:tx>
            <c:strRef>
              <c:f>'Regional &amp; Country Analysis'!$D$6</c:f>
              <c:strCache>
                <c:ptCount val="1"/>
                <c:pt idx="0">
                  <c:v>Sum of TotalSales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'Regional &amp; Country Analysis'!$C$7:$C$10</c:f>
              <c:strCache>
                <c:ptCount val="3"/>
                <c:pt idx="0">
                  <c:v>Asia</c:v>
                </c:pt>
                <c:pt idx="1">
                  <c:v>Europe</c:v>
                </c:pt>
                <c:pt idx="2">
                  <c:v>North America</c:v>
                </c:pt>
              </c:strCache>
            </c:strRef>
          </c:cat>
          <c:val>
            <c:numRef>
              <c:f>'Regional &amp; Country Analysis'!$D$7:$D$10</c:f>
              <c:numCache>
                <c:formatCode>_ "₹"\ * #,##0_ ;_ "₹"\ * \-#,##0_ ;_ "₹"\ * "-"??_ ;_ @_ </c:formatCode>
                <c:ptCount val="3"/>
                <c:pt idx="0">
                  <c:v>52399</c:v>
                </c:pt>
                <c:pt idx="1">
                  <c:v>39840</c:v>
                </c:pt>
                <c:pt idx="2">
                  <c:v>45160</c:v>
                </c:pt>
              </c:numCache>
            </c:numRef>
          </c:val>
          <c:extLst>
            <c:ext xmlns:c16="http://schemas.microsoft.com/office/drawing/2014/chart" uri="{C3380CC4-5D6E-409C-BE32-E72D297353CC}">
              <c16:uniqueId val="{00000000-526C-48E6-9E4C-E385566E581C}"/>
            </c:ext>
          </c:extLst>
        </c:ser>
        <c:ser>
          <c:idx val="1"/>
          <c:order val="1"/>
          <c:tx>
            <c:strRef>
              <c:f>'Regional &amp; Country Analysis'!$E$6</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'Regional &amp; Country Analysis'!$C$7:$C$10</c:f>
              <c:strCache>
                <c:ptCount val="3"/>
                <c:pt idx="0">
                  <c:v>Asia</c:v>
                </c:pt>
                <c:pt idx="1">
                  <c:v>Europe</c:v>
                </c:pt>
                <c:pt idx="2">
                  <c:v>North America</c:v>
                </c:pt>
              </c:strCache>
            </c:strRef>
          </c:cat>
          <c:val>
            <c:numRef>
              <c:f>'Regional &amp; Country Analysis'!$E$7:$E$10</c:f>
              <c:numCache>
                <c:formatCode>_ "₹"\ * #,##0_ ;_ "₹"\ * \-#,##0_ ;_ "₹"\ * "-"??_ ;_ @_ </c:formatCode>
                <c:ptCount val="3"/>
                <c:pt idx="0">
                  <c:v>9310</c:v>
                </c:pt>
                <c:pt idx="1">
                  <c:v>7055</c:v>
                </c:pt>
                <c:pt idx="2">
                  <c:v>7960</c:v>
                </c:pt>
              </c:numCache>
            </c:numRef>
          </c:val>
          <c:extLst>
            <c:ext xmlns:c16="http://schemas.microsoft.com/office/drawing/2014/chart" uri="{C3380CC4-5D6E-409C-BE32-E72D297353CC}">
              <c16:uniqueId val="{00000001-526C-48E6-9E4C-E385566E581C}"/>
            </c:ext>
          </c:extLst>
        </c:ser>
        <c:dLbls>
          <c:showLegendKey val="0"/>
          <c:showVal val="0"/>
          <c:showCatName val="0"/>
          <c:showSerName val="0"/>
          <c:showPercent val="0"/>
          <c:showBubbleSize val="0"/>
        </c:dLbls>
        <c:gapWidth val="115"/>
        <c:overlap val="-20"/>
        <c:axId val="1610154816"/>
        <c:axId val="1610143296"/>
      </c:barChart>
      <c:catAx>
        <c:axId val="161015481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0143296"/>
        <c:crosses val="autoZero"/>
        <c:auto val="1"/>
        <c:lblAlgn val="ctr"/>
        <c:lblOffset val="100"/>
        <c:noMultiLvlLbl val="0"/>
      </c:catAx>
      <c:valAx>
        <c:axId val="1610143296"/>
        <c:scaling>
          <c:orientation val="minMax"/>
        </c:scaling>
        <c:delete val="0"/>
        <c:axPos val="b"/>
        <c:majorGridlines>
          <c:spPr>
            <a:ln w="9525" cap="flat" cmpd="sng" algn="ctr">
              <a:solidFill>
                <a:schemeClr val="lt1">
                  <a:lumMod val="95000"/>
                  <a:alpha val="10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0154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Revenue Final Test.xlsx]Sales Performance Analysis!PivotTable2</c:name>
    <c:fmtId val="10"/>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t>Top Products</a:t>
            </a:r>
          </a:p>
        </c:rich>
      </c:tx>
      <c:layout>
        <c:manualLayout>
          <c:xMode val="edge"/>
          <c:yMode val="edge"/>
          <c:x val="0.39241614805231501"/>
          <c:y val="0.13144058885383805"/>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1190721578650837"/>
          <c:y val="0.42215910887645069"/>
          <c:w val="0.73573676327108328"/>
          <c:h val="0.34606813079088006"/>
        </c:manualLayout>
      </c:layout>
      <c:barChart>
        <c:barDir val="col"/>
        <c:grouping val="clustered"/>
        <c:varyColors val="0"/>
        <c:ser>
          <c:idx val="0"/>
          <c:order val="0"/>
          <c:tx>
            <c:strRef>
              <c:f>'Sales Performance Analysis'!$D$11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extLst>
              <c:ext xmlns:c16="http://schemas.microsoft.com/office/drawing/2014/chart" uri="{C3380CC4-5D6E-409C-BE32-E72D297353CC}">
                <c16:uniqueId val="{00000002-4ABF-4192-BB75-EF0F98605F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Performance Analysis'!$C$12:$C$16</c:f>
              <c:strCache>
                <c:ptCount val="5"/>
                <c:pt idx="0">
                  <c:v>Smartphone</c:v>
                </c:pt>
                <c:pt idx="1">
                  <c:v>Laptop</c:v>
                </c:pt>
                <c:pt idx="2">
                  <c:v>Tablet</c:v>
                </c:pt>
                <c:pt idx="3">
                  <c:v>Monitor</c:v>
                </c:pt>
                <c:pt idx="4">
                  <c:v>Desk</c:v>
                </c:pt>
              </c:strCache>
            </c:strRef>
          </c:cat>
          <c:val>
            <c:numRef>
              <c:f>'Sales Performance Analysis'!$D$12:$D$16</c:f>
              <c:numCache>
                <c:formatCode>_ "₹"\ * #,##0_ ;_ "₹"\ * \-#,##0_ ;_ "₹"\ * "-"??_ ;_ @_ </c:formatCode>
                <c:ptCount val="5"/>
                <c:pt idx="0">
                  <c:v>54180</c:v>
                </c:pt>
                <c:pt idx="1">
                  <c:v>24370</c:v>
                </c:pt>
                <c:pt idx="2">
                  <c:v>19430</c:v>
                </c:pt>
                <c:pt idx="3">
                  <c:v>11950</c:v>
                </c:pt>
                <c:pt idx="4">
                  <c:v>10450</c:v>
                </c:pt>
              </c:numCache>
            </c:numRef>
          </c:val>
          <c:extLst>
            <c:ext xmlns:c16="http://schemas.microsoft.com/office/drawing/2014/chart" uri="{C3380CC4-5D6E-409C-BE32-E72D297353CC}">
              <c16:uniqueId val="{00000000-1905-494E-ABFC-555066A556AE}"/>
            </c:ext>
          </c:extLst>
        </c:ser>
        <c:dLbls>
          <c:dLblPos val="outEnd"/>
          <c:showLegendKey val="0"/>
          <c:showVal val="1"/>
          <c:showCatName val="0"/>
          <c:showSerName val="0"/>
          <c:showPercent val="0"/>
          <c:showBubbleSize val="0"/>
        </c:dLbls>
        <c:gapWidth val="100"/>
        <c:overlap val="-24"/>
        <c:axId val="1716008000"/>
        <c:axId val="1716009440"/>
      </c:barChart>
      <c:catAx>
        <c:axId val="1716008000"/>
        <c:scaling>
          <c:orientation val="minMax"/>
        </c:scaling>
        <c:delete val="0"/>
        <c:axPos val="b"/>
        <c:title>
          <c:tx>
            <c:rich>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r>
                  <a:rPr lang="en-US">
                    <a:ln>
                      <a:noFill/>
                    </a:ln>
                    <a:solidFill>
                      <a:sysClr val="windowText" lastClr="000000"/>
                    </a:solidFill>
                  </a:rPr>
                  <a:t>Products</a:t>
                </a:r>
              </a:p>
            </c:rich>
          </c:tx>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16009440"/>
        <c:crosses val="autoZero"/>
        <c:auto val="1"/>
        <c:lblAlgn val="ctr"/>
        <c:lblOffset val="100"/>
        <c:noMultiLvlLbl val="0"/>
      </c:catAx>
      <c:valAx>
        <c:axId val="17160094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solidFill>
                    <a:latin typeface="+mn-lt"/>
                    <a:ea typeface="+mn-ea"/>
                    <a:cs typeface="+mn-cs"/>
                  </a:defRPr>
                </a:pPr>
                <a:r>
                  <a:rPr lang="en-US"/>
                  <a:t>Total Sales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title>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16008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Revenue Final Test.xlsx]Monthly Trend Analysis!PivotTable5</c:name>
    <c:fmtId val="12"/>
  </c:pivotSource>
  <c:chart>
    <c:title>
      <c:tx>
        <c:rich>
          <a:bodyPr rot="0" spcFirstLastPara="1" vertOverflow="ellipsis" vert="horz" wrap="square" anchor="ctr" anchorCtr="1"/>
          <a:lstStyle/>
          <a:p>
            <a:pPr>
              <a:defRPr lang="en-US" sz="1080" b="0" i="0" u="none" strike="noStrike" kern="1200" baseline="0">
                <a:solidFill>
                  <a:schemeClr val="tx1"/>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lang="en-US" sz="1080" b="0"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 Analysis'!$M$6</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Trend Analysis'!$L$7:$L$16</c:f>
              <c:strCache>
                <c:ptCount val="9"/>
                <c:pt idx="0">
                  <c:v>Jan</c:v>
                </c:pt>
                <c:pt idx="1">
                  <c:v>Feb</c:v>
                </c:pt>
                <c:pt idx="2">
                  <c:v>Mar</c:v>
                </c:pt>
                <c:pt idx="3">
                  <c:v>Apr</c:v>
                </c:pt>
                <c:pt idx="4">
                  <c:v>May</c:v>
                </c:pt>
                <c:pt idx="5">
                  <c:v>Jun</c:v>
                </c:pt>
                <c:pt idx="6">
                  <c:v>Jul</c:v>
                </c:pt>
                <c:pt idx="7">
                  <c:v>Aug</c:v>
                </c:pt>
                <c:pt idx="8">
                  <c:v>Sep</c:v>
                </c:pt>
              </c:strCache>
            </c:strRef>
          </c:cat>
          <c:val>
            <c:numRef>
              <c:f>'Monthly Trend Analysis'!$M$7:$M$16</c:f>
              <c:numCache>
                <c:formatCode>_ "₹"\ * #,##0_ ;_ "₹"\ * \-#,##0_ ;_ "₹"\ * "-"??_ ;_ @_ </c:formatCode>
                <c:ptCount val="9"/>
                <c:pt idx="0">
                  <c:v>7300</c:v>
                </c:pt>
                <c:pt idx="1">
                  <c:v>4180</c:v>
                </c:pt>
                <c:pt idx="2">
                  <c:v>10260</c:v>
                </c:pt>
                <c:pt idx="3">
                  <c:v>10930</c:v>
                </c:pt>
                <c:pt idx="4">
                  <c:v>10360</c:v>
                </c:pt>
                <c:pt idx="5">
                  <c:v>9540</c:v>
                </c:pt>
                <c:pt idx="6">
                  <c:v>28149</c:v>
                </c:pt>
                <c:pt idx="7">
                  <c:v>34445</c:v>
                </c:pt>
                <c:pt idx="8">
                  <c:v>22235</c:v>
                </c:pt>
              </c:numCache>
            </c:numRef>
          </c:val>
          <c:smooth val="0"/>
          <c:extLst>
            <c:ext xmlns:c16="http://schemas.microsoft.com/office/drawing/2014/chart" uri="{C3380CC4-5D6E-409C-BE32-E72D297353CC}">
              <c16:uniqueId val="{00000000-F89E-45BA-AA83-A344C89E5F03}"/>
            </c:ext>
          </c:extLst>
        </c:ser>
        <c:dLbls>
          <c:dLblPos val="t"/>
          <c:showLegendKey val="0"/>
          <c:showVal val="1"/>
          <c:showCatName val="0"/>
          <c:showSerName val="0"/>
          <c:showPercent val="0"/>
          <c:showBubbleSize val="0"/>
        </c:dLbls>
        <c:marker val="1"/>
        <c:smooth val="0"/>
        <c:axId val="1715990720"/>
        <c:axId val="1716005600"/>
      </c:lineChart>
      <c:catAx>
        <c:axId val="1715990720"/>
        <c:scaling>
          <c:orientation val="minMax"/>
        </c:scaling>
        <c:delete val="0"/>
        <c:axPos val="b"/>
        <c:title>
          <c:tx>
            <c:rich>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r>
                  <a:rPr lang="en-US"/>
                  <a:t>Months</a:t>
                </a:r>
              </a:p>
            </c:rich>
          </c:tx>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716005600"/>
        <c:crosses val="autoZero"/>
        <c:auto val="1"/>
        <c:lblAlgn val="ctr"/>
        <c:lblOffset val="100"/>
        <c:noMultiLvlLbl val="0"/>
      </c:catAx>
      <c:valAx>
        <c:axId val="17160056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r>
                  <a:rPr lang="en-US"/>
                  <a:t>Total Sales</a:t>
                </a:r>
              </a:p>
            </c:rich>
          </c:tx>
          <c:overlay val="0"/>
          <c:spPr>
            <a:noFill/>
            <a:ln>
              <a:noFill/>
            </a:ln>
            <a:effectLst/>
          </c:spPr>
          <c:txPr>
            <a:bodyPr rot="-54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title>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71599072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Revenue Final Test.xlsx]Regional &amp; Country Analysis!PivotTable10</c:name>
    <c:fmtId val="27"/>
  </c:pivotSource>
  <c:chart>
    <c:title>
      <c:tx>
        <c:rich>
          <a:bodyPr rot="0" spcFirstLastPara="1" vertOverflow="ellipsis" vert="horz" wrap="square" anchor="ctr" anchorCtr="1"/>
          <a:lstStyle/>
          <a:p>
            <a:pPr>
              <a:defRPr lang="en-US" sz="1080" b="0" i="0" u="none" strike="noStrike" kern="1200" baseline="0">
                <a:solidFill>
                  <a:schemeClr val="tx1"/>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lang="en-US" sz="1080" b="0"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619269466316708"/>
          <c:y val="0.27460447652376785"/>
          <c:w val="0.65498097112860887"/>
          <c:h val="0.61836650627004963"/>
        </c:manualLayout>
      </c:layout>
      <c:barChart>
        <c:barDir val="bar"/>
        <c:grouping val="clustered"/>
        <c:varyColors val="0"/>
        <c:ser>
          <c:idx val="0"/>
          <c:order val="0"/>
          <c:tx>
            <c:strRef>
              <c:f>'Regional &amp; Country Analysis'!$D$6</c:f>
              <c:strCache>
                <c:ptCount val="1"/>
                <c:pt idx="0">
                  <c:v>Sum of TotalSales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&amp; Country Analysis'!$C$7:$C$10</c:f>
              <c:strCache>
                <c:ptCount val="3"/>
                <c:pt idx="0">
                  <c:v>Asia</c:v>
                </c:pt>
                <c:pt idx="1">
                  <c:v>Europe</c:v>
                </c:pt>
                <c:pt idx="2">
                  <c:v>North America</c:v>
                </c:pt>
              </c:strCache>
            </c:strRef>
          </c:cat>
          <c:val>
            <c:numRef>
              <c:f>'Regional &amp; Country Analysis'!$D$7:$D$10</c:f>
              <c:numCache>
                <c:formatCode>_ "₹"\ * #,##0_ ;_ "₹"\ * \-#,##0_ ;_ "₹"\ * "-"??_ ;_ @_ </c:formatCode>
                <c:ptCount val="3"/>
                <c:pt idx="0">
                  <c:v>52399</c:v>
                </c:pt>
                <c:pt idx="1">
                  <c:v>39840</c:v>
                </c:pt>
                <c:pt idx="2">
                  <c:v>45160</c:v>
                </c:pt>
              </c:numCache>
            </c:numRef>
          </c:val>
          <c:extLst>
            <c:ext xmlns:c16="http://schemas.microsoft.com/office/drawing/2014/chart" uri="{C3380CC4-5D6E-409C-BE32-E72D297353CC}">
              <c16:uniqueId val="{00000000-611D-45C4-BD4D-731CA403A8C5}"/>
            </c:ext>
          </c:extLst>
        </c:ser>
        <c:ser>
          <c:idx val="1"/>
          <c:order val="1"/>
          <c:tx>
            <c:strRef>
              <c:f>'Regional &amp; Country Analysis'!$E$6</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&amp; Country Analysis'!$C$7:$C$10</c:f>
              <c:strCache>
                <c:ptCount val="3"/>
                <c:pt idx="0">
                  <c:v>Asia</c:v>
                </c:pt>
                <c:pt idx="1">
                  <c:v>Europe</c:v>
                </c:pt>
                <c:pt idx="2">
                  <c:v>North America</c:v>
                </c:pt>
              </c:strCache>
            </c:strRef>
          </c:cat>
          <c:val>
            <c:numRef>
              <c:f>'Regional &amp; Country Analysis'!$E$7:$E$10</c:f>
              <c:numCache>
                <c:formatCode>_ "₹"\ * #,##0_ ;_ "₹"\ * \-#,##0_ ;_ "₹"\ * "-"??_ ;_ @_ </c:formatCode>
                <c:ptCount val="3"/>
                <c:pt idx="0">
                  <c:v>9310</c:v>
                </c:pt>
                <c:pt idx="1">
                  <c:v>7055</c:v>
                </c:pt>
                <c:pt idx="2">
                  <c:v>7960</c:v>
                </c:pt>
              </c:numCache>
            </c:numRef>
          </c:val>
          <c:extLst>
            <c:ext xmlns:c16="http://schemas.microsoft.com/office/drawing/2014/chart" uri="{C3380CC4-5D6E-409C-BE32-E72D297353CC}">
              <c16:uniqueId val="{00000001-611D-45C4-BD4D-731CA403A8C5}"/>
            </c:ext>
          </c:extLst>
        </c:ser>
        <c:dLbls>
          <c:dLblPos val="outEnd"/>
          <c:showLegendKey val="0"/>
          <c:showVal val="1"/>
          <c:showCatName val="0"/>
          <c:showSerName val="0"/>
          <c:showPercent val="0"/>
          <c:showBubbleSize val="0"/>
        </c:dLbls>
        <c:gapWidth val="115"/>
        <c:overlap val="-20"/>
        <c:axId val="1610154816"/>
        <c:axId val="1610143296"/>
      </c:barChart>
      <c:catAx>
        <c:axId val="1610154816"/>
        <c:scaling>
          <c:orientation val="minMax"/>
        </c:scaling>
        <c:delete val="0"/>
        <c:axPos val="l"/>
        <c:title>
          <c:tx>
            <c:rich>
              <a:bodyPr rot="-54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r>
                  <a:rPr lang="en-US"/>
                  <a:t>Region</a:t>
                </a:r>
              </a:p>
            </c:rich>
          </c:tx>
          <c:overlay val="0"/>
          <c:spPr>
            <a:noFill/>
            <a:ln>
              <a:noFill/>
            </a:ln>
            <a:effectLst/>
          </c:spPr>
          <c:txPr>
            <a:bodyPr rot="-54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610143296"/>
        <c:crosses val="autoZero"/>
        <c:auto val="1"/>
        <c:lblAlgn val="ctr"/>
        <c:lblOffset val="100"/>
        <c:noMultiLvlLbl val="0"/>
      </c:catAx>
      <c:valAx>
        <c:axId val="1610143296"/>
        <c:scaling>
          <c:orientation val="minMax"/>
        </c:scaling>
        <c:delete val="0"/>
        <c:axPos val="b"/>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610154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1531620</xdr:colOff>
      <xdr:row>24</xdr:row>
      <xdr:rowOff>0</xdr:rowOff>
    </xdr:from>
    <xdr:to>
      <xdr:col>4</xdr:col>
      <xdr:colOff>655320</xdr:colOff>
      <xdr:row>37</xdr:row>
      <xdr:rowOff>152400</xdr:rowOff>
    </xdr:to>
    <xdr:graphicFrame macro="">
      <xdr:nvGraphicFramePr>
        <xdr:cNvPr id="3" name="Chart 2">
          <a:extLst>
            <a:ext uri="{FF2B5EF4-FFF2-40B4-BE49-F238E27FC236}">
              <a16:creationId xmlns:a16="http://schemas.microsoft.com/office/drawing/2014/main" id="{DEF430CF-8BC8-4F73-B698-CF4A8D1FDF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14</xdr:col>
      <xdr:colOff>7620</xdr:colOff>
      <xdr:row>5</xdr:row>
      <xdr:rowOff>26670</xdr:rowOff>
    </xdr:from>
    <xdr:to>
      <xdr:col>21</xdr:col>
      <xdr:colOff>327660</xdr:colOff>
      <xdr:row>16</xdr:row>
      <xdr:rowOff>175260</xdr:rowOff>
    </xdr:to>
    <xdr:graphicFrame macro="">
      <xdr:nvGraphicFramePr>
        <xdr:cNvPr id="2" name="Chart 1">
          <a:extLst>
            <a:ext uri="{FF2B5EF4-FFF2-40B4-BE49-F238E27FC236}">
              <a16:creationId xmlns:a16="http://schemas.microsoft.com/office/drawing/2014/main" id="{FDD9A59A-2D5A-F825-956C-2C2DA7C1FF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15240</xdr:colOff>
      <xdr:row>13</xdr:row>
      <xdr:rowOff>179070</xdr:rowOff>
    </xdr:from>
    <xdr:to>
      <xdr:col>10</xdr:col>
      <xdr:colOff>434340</xdr:colOff>
      <xdr:row>28</xdr:row>
      <xdr:rowOff>179070</xdr:rowOff>
    </xdr:to>
    <xdr:graphicFrame macro="">
      <xdr:nvGraphicFramePr>
        <xdr:cNvPr id="2" name="Chart 1">
          <a:extLst>
            <a:ext uri="{FF2B5EF4-FFF2-40B4-BE49-F238E27FC236}">
              <a16:creationId xmlns:a16="http://schemas.microsoft.com/office/drawing/2014/main" id="{556DD25A-90F3-CD98-212A-95B55BBD6A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14</xdr:row>
      <xdr:rowOff>137161</xdr:rowOff>
    </xdr:from>
    <xdr:to>
      <xdr:col>15</xdr:col>
      <xdr:colOff>0</xdr:colOff>
      <xdr:row>21</xdr:row>
      <xdr:rowOff>167641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A5824869-452F-79D1-DD88-FFB8DA297F8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949940" y="2979421"/>
              <a:ext cx="1828800" cy="1310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22860</xdr:colOff>
      <xdr:row>9</xdr:row>
      <xdr:rowOff>22861</xdr:rowOff>
    </xdr:from>
    <xdr:to>
      <xdr:col>15</xdr:col>
      <xdr:colOff>22860</xdr:colOff>
      <xdr:row>14</xdr:row>
      <xdr:rowOff>91441</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CBEDD8C5-E5A5-13AE-61F6-09D51BC8AC1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972800" y="1950721"/>
              <a:ext cx="1828800" cy="982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114300</xdr:colOff>
      <xdr:row>7</xdr:row>
      <xdr:rowOff>175260</xdr:rowOff>
    </xdr:from>
    <xdr:to>
      <xdr:col>8</xdr:col>
      <xdr:colOff>312420</xdr:colOff>
      <xdr:row>22</xdr:row>
      <xdr:rowOff>13335</xdr:rowOff>
    </xdr:to>
    <mc:AlternateContent xmlns:mc="http://schemas.openxmlformats.org/markup-compatibility/2006">
      <mc:Choice xmlns:a14="http://schemas.microsoft.com/office/drawing/2010/main" Requires="a14">
        <xdr:graphicFrame macro="">
          <xdr:nvGraphicFramePr>
            <xdr:cNvPr id="6" name="Salesperson">
              <a:extLst>
                <a:ext uri="{FF2B5EF4-FFF2-40B4-BE49-F238E27FC236}">
                  <a16:creationId xmlns:a16="http://schemas.microsoft.com/office/drawing/2014/main" id="{360BC3F2-7823-DD74-D22E-8ECE46E88B38}"/>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6301740" y="17373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83820</xdr:colOff>
      <xdr:row>18</xdr:row>
      <xdr:rowOff>0</xdr:rowOff>
    </xdr:from>
    <xdr:to>
      <xdr:col>13</xdr:col>
      <xdr:colOff>586740</xdr:colOff>
      <xdr:row>31</xdr:row>
      <xdr:rowOff>38100</xdr:rowOff>
    </xdr:to>
    <xdr:graphicFrame macro="">
      <xdr:nvGraphicFramePr>
        <xdr:cNvPr id="2" name="Chart 1">
          <a:extLst>
            <a:ext uri="{FF2B5EF4-FFF2-40B4-BE49-F238E27FC236}">
              <a16:creationId xmlns:a16="http://schemas.microsoft.com/office/drawing/2014/main" id="{7D091404-BB51-45F4-AE65-E8C83E5A40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190500</xdr:colOff>
      <xdr:row>5</xdr:row>
      <xdr:rowOff>137160</xdr:rowOff>
    </xdr:from>
    <xdr:to>
      <xdr:col>23</xdr:col>
      <xdr:colOff>419100</xdr:colOff>
      <xdr:row>17</xdr:row>
      <xdr:rowOff>83820</xdr:rowOff>
    </xdr:to>
    <xdr:graphicFrame macro="">
      <xdr:nvGraphicFramePr>
        <xdr:cNvPr id="3" name="Chart 2">
          <a:extLst>
            <a:ext uri="{FF2B5EF4-FFF2-40B4-BE49-F238E27FC236}">
              <a16:creationId xmlns:a16="http://schemas.microsoft.com/office/drawing/2014/main" id="{9E93E8D3-6A60-473B-AE22-39E058E465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182880</xdr:colOff>
      <xdr:row>17</xdr:row>
      <xdr:rowOff>167640</xdr:rowOff>
    </xdr:from>
    <xdr:to>
      <xdr:col>23</xdr:col>
      <xdr:colOff>434340</xdr:colOff>
      <xdr:row>31</xdr:row>
      <xdr:rowOff>38100</xdr:rowOff>
    </xdr:to>
    <xdr:graphicFrame macro="">
      <xdr:nvGraphicFramePr>
        <xdr:cNvPr id="4" name="Chart 3">
          <a:extLst>
            <a:ext uri="{FF2B5EF4-FFF2-40B4-BE49-F238E27FC236}">
              <a16:creationId xmlns:a16="http://schemas.microsoft.com/office/drawing/2014/main" id="{DF288F01-F854-4A52-A036-4B5BEFAC0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152400</xdr:colOff>
      <xdr:row>22</xdr:row>
      <xdr:rowOff>108857</xdr:rowOff>
    </xdr:from>
    <xdr:to>
      <xdr:col>4</xdr:col>
      <xdr:colOff>152400</xdr:colOff>
      <xdr:row>30</xdr:row>
      <xdr:rowOff>160020</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3A6150CD-DCE5-4886-9088-08C05292631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59080" y="4170317"/>
              <a:ext cx="1828800" cy="15142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144780</xdr:colOff>
      <xdr:row>16</xdr:row>
      <xdr:rowOff>13063</xdr:rowOff>
    </xdr:from>
    <xdr:to>
      <xdr:col>4</xdr:col>
      <xdr:colOff>144780</xdr:colOff>
      <xdr:row>21</xdr:row>
      <xdr:rowOff>175260</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DE8BFF94-DE8C-4D51-B18E-E73DC076F44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51460" y="2977243"/>
              <a:ext cx="1828800" cy="10765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144780</xdr:colOff>
      <xdr:row>7</xdr:row>
      <xdr:rowOff>114300</xdr:rowOff>
    </xdr:from>
    <xdr:to>
      <xdr:col>4</xdr:col>
      <xdr:colOff>144780</xdr:colOff>
      <xdr:row>15</xdr:row>
      <xdr:rowOff>15240</xdr:rowOff>
    </xdr:to>
    <mc:AlternateContent xmlns:mc="http://schemas.openxmlformats.org/markup-compatibility/2006" xmlns:a14="http://schemas.microsoft.com/office/drawing/2010/main">
      <mc:Choice Requires="a14">
        <xdr:graphicFrame macro="">
          <xdr:nvGraphicFramePr>
            <xdr:cNvPr id="10" name="Salesperson 1">
              <a:extLst>
                <a:ext uri="{FF2B5EF4-FFF2-40B4-BE49-F238E27FC236}">
                  <a16:creationId xmlns:a16="http://schemas.microsoft.com/office/drawing/2014/main" id="{954E7231-D561-4719-8769-CEA11E22FBAA}"/>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251460" y="1394460"/>
              <a:ext cx="1828800" cy="1394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541020</xdr:colOff>
      <xdr:row>1</xdr:row>
      <xdr:rowOff>129540</xdr:rowOff>
    </xdr:from>
    <xdr:to>
      <xdr:col>22</xdr:col>
      <xdr:colOff>518160</xdr:colOff>
      <xdr:row>5</xdr:row>
      <xdr:rowOff>15240</xdr:rowOff>
    </xdr:to>
    <xdr:sp macro="" textlink="">
      <xdr:nvSpPr>
        <xdr:cNvPr id="17" name="Rectangle: Rounded Corners 16">
          <a:extLst>
            <a:ext uri="{FF2B5EF4-FFF2-40B4-BE49-F238E27FC236}">
              <a16:creationId xmlns:a16="http://schemas.microsoft.com/office/drawing/2014/main" id="{36079562-BD10-8A53-3915-72E2BF6DE955}"/>
            </a:ext>
          </a:extLst>
        </xdr:cNvPr>
        <xdr:cNvSpPr/>
      </xdr:nvSpPr>
      <xdr:spPr>
        <a:xfrm>
          <a:off x="647700" y="304800"/>
          <a:ext cx="12679680" cy="617220"/>
        </a:xfrm>
        <a:prstGeom prst="roundRect">
          <a:avLst/>
        </a:prstGeom>
        <a:solidFill>
          <a:schemeClr val="accent1">
            <a:lumMod val="20000"/>
            <a:lumOff val="8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US" sz="2000" b="1">
              <a:latin typeface="Aptos" panose="020B0004020202020204" pitchFamily="34" charset="0"/>
            </a:rPr>
            <a:t>GLOBAL ELECTRONICS &amp; FURNITURE  SALES PERFORMANCE DASHBOARD (2024)</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Bhokare" refreshedDate="46205.560868055552" createdVersion="8" refreshedVersion="8" minRefreshableVersion="3" recordCount="78" xr:uid="{BD293103-6EF4-4E06-853D-2E380FCA409B}">
  <cacheSource type="worksheet">
    <worksheetSource name="Sales_table"/>
  </cacheSource>
  <cacheFields count="14">
    <cacheField name="OrderID" numFmtId="1">
      <sharedItems containsSemiMixedTypes="0" containsString="0" containsNumber="1" containsInteger="1" minValue="1001" maxValue="1080"/>
    </cacheField>
    <cacheField name="OrderDate" numFmtId="14">
      <sharedItems containsSemiMixedTypes="0" containsNonDate="0" containsDate="1" containsString="0" minDate="2024-01-05T00:00:00" maxDate="2024-10-01T00:00:00" count="78">
        <d v="2024-01-05T00:00:00"/>
        <d v="2024-01-08T00:00:00"/>
        <d v="2024-01-10T00:00:00"/>
        <d v="2024-01-15T00:00:00"/>
        <d v="2024-01-20T00:00:00"/>
        <d v="2024-02-02T00:00:00"/>
        <d v="2024-02-05T00:00:00"/>
        <d v="2024-02-10T00:00:00"/>
        <d v="2024-02-14T00:00:00"/>
        <d v="2024-02-20T00:00:00"/>
        <d v="2024-03-01T00:00:00"/>
        <d v="2024-03-05T00:00:00"/>
        <d v="2024-03-10T00:00:00"/>
        <d v="2024-03-15T00:00:00"/>
        <d v="2024-03-18T00:00:00"/>
        <d v="2024-03-22T00:00:00"/>
        <d v="2024-03-25T00:00:00"/>
        <d v="2024-04-02T00:00:00"/>
        <d v="2024-04-05T00:00:00"/>
        <d v="2024-04-10T00:00:00"/>
        <d v="2024-04-14T00:00:00"/>
        <d v="2024-04-18T00:00:00"/>
        <d v="2024-04-22T00:00:00"/>
        <d v="2024-04-28T00:00:00"/>
        <d v="2024-05-03T00:00:00"/>
        <d v="2024-05-07T00:00:00"/>
        <d v="2024-05-10T00:00:00"/>
        <d v="2024-05-14T00:00:00"/>
        <d v="2024-05-18T00:00:00"/>
        <d v="2024-05-22T00:00:00"/>
        <d v="2024-06-02T00:00:00"/>
        <d v="2024-06-06T00:00:00"/>
        <d v="2024-06-10T00:00:00"/>
        <d v="2024-06-14T00:00:00"/>
        <d v="2024-06-18T00:00:00"/>
        <d v="2024-06-22T00:00:00"/>
        <d v="2024-07-02T00:00:00"/>
        <d v="2024-07-04T00:00:00"/>
        <d v="2024-07-06T00:00:00"/>
        <d v="2024-07-08T00:00:00"/>
        <d v="2024-07-10T00:00:00"/>
        <d v="2024-07-12T00:00:00"/>
        <d v="2024-07-14T00:00:00"/>
        <d v="2024-07-16T00:00:00"/>
        <d v="2024-07-18T00:00:00"/>
        <d v="2024-07-20T00:00:00"/>
        <d v="2024-07-22T00:00:00"/>
        <d v="2024-07-24T00:00:00"/>
        <d v="2024-07-26T00:00:00"/>
        <d v="2024-07-28T00:00:00"/>
        <d v="2024-07-30T00:00:00"/>
        <d v="2024-08-02T00:00:00"/>
        <d v="2024-08-04T00:00:00"/>
        <d v="2024-08-06T00:00:00"/>
        <d v="2024-08-08T00:00:00"/>
        <d v="2024-08-10T00:00:00"/>
        <d v="2024-08-12T00:00:00"/>
        <d v="2024-08-14T00:00:00"/>
        <d v="2024-08-16T00:00:00"/>
        <d v="2024-08-18T00:00:00"/>
        <d v="2024-08-20T00:00:00"/>
        <d v="2024-08-22T00:00:00"/>
        <d v="2024-08-24T00:00:00"/>
        <d v="2024-08-26T00:00:00"/>
        <d v="2024-08-28T00:00:00"/>
        <d v="2024-08-30T00:00:00"/>
        <d v="2024-09-02T00:00:00"/>
        <d v="2024-09-04T00:00:00"/>
        <d v="2024-09-06T00:00:00"/>
        <d v="2024-09-08T00:00:00"/>
        <d v="2024-09-10T00:00:00"/>
        <d v="2024-09-12T00:00:00"/>
        <d v="2024-09-14T00:00:00"/>
        <d v="2024-09-16T00:00:00"/>
        <d v="2024-09-18T00:00:00"/>
        <d v="2024-09-20T00:00:00"/>
        <d v="2024-09-22T00:00:00"/>
        <d v="2024-09-30T00:00:00"/>
      </sharedItems>
      <fieldGroup par="13"/>
    </cacheField>
    <cacheField name="Region" numFmtId="49">
      <sharedItems count="3">
        <s v="North America"/>
        <s v="Europe"/>
        <s v="Asia"/>
      </sharedItems>
    </cacheField>
    <cacheField name="Country" numFmtId="49">
      <sharedItems count="14">
        <s v="USA"/>
        <s v="Germany"/>
        <s v="India"/>
        <s v="Canada"/>
        <s v="France"/>
        <s v="Japan"/>
        <s v="UK"/>
        <s v="Mexico"/>
        <s v="Spain"/>
        <s v="China"/>
        <s v="Italy"/>
        <s v="Singapore"/>
        <s v="Netherlands"/>
        <s v="Sweden"/>
      </sharedItems>
    </cacheField>
    <cacheField name="Product" numFmtId="49">
      <sharedItems count="8">
        <s v="Laptop"/>
        <s v="Smartphone"/>
        <s v="Tablet"/>
        <s v="Office Chair"/>
        <s v="Desk"/>
        <s v="Monitor"/>
        <s v="Printer"/>
        <s v="Bookshelf"/>
      </sharedItems>
    </cacheField>
    <cacheField name="Category" numFmtId="49">
      <sharedItems count="2">
        <s v="Electronics"/>
        <s v="Furniture"/>
      </sharedItems>
    </cacheField>
    <cacheField name="Salesperson" numFmtId="49">
      <sharedItems containsBlank="1" count="4">
        <s v="Alice"/>
        <s v="Bob"/>
        <s v="Charlie"/>
        <m u="1"/>
      </sharedItems>
    </cacheField>
    <cacheField name="Quantity" numFmtId="0">
      <sharedItems containsSemiMixedTypes="0" containsString="0" containsNumber="1" containsInteger="1" minValue="1" maxValue="11"/>
    </cacheField>
    <cacheField name="UnitPrice" numFmtId="164">
      <sharedItems containsSemiMixedTypes="0" containsString="0" containsNumber="1" containsInteger="1" minValue="140" maxValue="980"/>
    </cacheField>
    <cacheField name="TotalSales" numFmtId="164">
      <sharedItems containsSemiMixedTypes="0" containsString="0" containsNumber="1" containsInteger="1" minValue="200" maxValue="6490"/>
    </cacheField>
    <cacheField name="Profit" numFmtId="164">
      <sharedItems containsSemiMixedTypes="0" containsString="0" containsNumber="1" containsInteger="1" minValue="50" maxValue="1100"/>
    </cacheField>
    <cacheField name="ProfitMargin(%)" numFmtId="10">
      <sharedItems containsSemiMixedTypes="0" containsString="0" containsNumber="1" minValue="0.15476190476190477" maxValue="0.25"/>
    </cacheField>
    <cacheField name="Days (OrderDate)" numFmtId="0" databaseField="0">
      <fieldGroup base="1">
        <rangePr groupBy="days" startDate="2024-01-05T00:00:00" endDate="2024-10-01T00:00:00"/>
        <groupItems count="368">
          <s v="&lt;05-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10-2024"/>
        </groupItems>
      </fieldGroup>
    </cacheField>
    <cacheField name="Months (OrderDate)" numFmtId="0" databaseField="0">
      <fieldGroup base="1">
        <rangePr groupBy="months" startDate="2024-01-05T00:00:00" endDate="2024-10-01T00:00:00"/>
        <groupItems count="14">
          <s v="&lt;05-01-2024"/>
          <s v="Jan"/>
          <s v="Feb"/>
          <s v="Mar"/>
          <s v="Apr"/>
          <s v="May"/>
          <s v="Jun"/>
          <s v="Jul"/>
          <s v="Aug"/>
          <s v="Sep"/>
          <s v="Oct"/>
          <s v="Nov"/>
          <s v="Dec"/>
          <s v="&gt;01-10-2024"/>
        </groupItems>
      </fieldGroup>
    </cacheField>
  </cacheFields>
  <extLst>
    <ext xmlns:x14="http://schemas.microsoft.com/office/spreadsheetml/2009/9/main" uri="{725AE2AE-9491-48be-B2B4-4EB974FC3084}">
      <x14:pivotCacheDefinition pivotCacheId="388381028"/>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7A9068-87BD-40DF-9DFD-9808D149AE2B}" name="PivotTable2" cacheId="162" applyNumberFormats="0" applyBorderFormats="0" applyFontFormats="0" applyPatternFormats="0" applyAlignmentFormats="0" applyWidthHeightFormats="1" dataCaption="Values" updatedVersion="8" minRefreshableVersion="3" enableDrill="0" useAutoFormatting="1" rowGrandTotals="0" itemPrintTitles="1" createdVersion="8" indent="0" outline="1" outlineData="1" multipleFieldFilters="0" chartFormat="16">
  <location ref="C11:D16" firstHeaderRow="1" firstDataRow="1" firstDataCol="1"/>
  <pivotFields count="14">
    <pivotField numFmtId="1" showAll="0"/>
    <pivotField numFmtId="14" showAll="0">
      <items count="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showAll="0"/>
    <pivotField showAll="0"/>
    <pivotField axis="axisRow" showAll="0" measureFilter="1" sortType="descending">
      <items count="9">
        <item x="7"/>
        <item x="4"/>
        <item x="0"/>
        <item x="5"/>
        <item x="3"/>
        <item x="6"/>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dataField="1" numFmtId="164" showAll="0"/>
    <pivotField numFmtId="164" showAll="0"/>
    <pivotField numFmtId="10"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v="6"/>
    </i>
    <i>
      <x v="2"/>
    </i>
    <i>
      <x v="7"/>
    </i>
    <i>
      <x v="3"/>
    </i>
    <i>
      <x v="1"/>
    </i>
  </rowItems>
  <colItems count="1">
    <i/>
  </colItems>
  <dataFields count="1">
    <dataField name="Sum of TotalSales" fld="9" baseField="0" baseItem="0" numFmtId="164"/>
  </dataFields>
  <formats count="5">
    <format dxfId="1193">
      <pivotArea type="all" dataOnly="0" outline="0" fieldPosition="0"/>
    </format>
    <format dxfId="1192">
      <pivotArea outline="0" collapsedLevelsAreSubtotals="1" fieldPosition="0"/>
    </format>
    <format dxfId="1191">
      <pivotArea field="4" type="button" dataOnly="0" labelOnly="1" outline="0" axis="axisRow" fieldPosition="0"/>
    </format>
    <format dxfId="1190">
      <pivotArea dataOnly="0" labelOnly="1" fieldPosition="0">
        <references count="1">
          <reference field="4" count="5">
            <x v="1"/>
            <x v="2"/>
            <x v="3"/>
            <x v="6"/>
            <x v="7"/>
          </reference>
        </references>
      </pivotArea>
    </format>
    <format dxfId="1189">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1FA793-C117-40C5-9283-97DB31767050}" name="PivotTable1" cacheId="1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C8" firstHeaderRow="1" firstDataRow="1" firstDataCol="0"/>
  <pivotFields count="14">
    <pivotField numFmtId="1" showAll="0"/>
    <pivotField numFmtId="14" showAll="0">
      <items count="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showAll="0"/>
    <pivotField showAll="0"/>
    <pivotField showAll="0"/>
    <pivotField showAll="0"/>
    <pivotField showAll="0"/>
    <pivotField showAll="0"/>
    <pivotField numFmtId="164" showAll="0"/>
    <pivotField dataField="1" numFmtId="164" showAll="0"/>
    <pivotField numFmtId="164" showAll="0"/>
    <pivotField numFmtId="10"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Sales" fld="9" baseField="0" baseItem="0" numFmtId="164"/>
  </dataFields>
  <formats count="3">
    <format dxfId="1196">
      <pivotArea type="all" dataOnly="0" outline="0" fieldPosition="0"/>
    </format>
    <format dxfId="1195">
      <pivotArea outline="0" collapsedLevelsAreSubtotals="1" fieldPosition="0"/>
    </format>
    <format dxfId="1194">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EB19FD-EE8E-4F11-8313-9DEA8540B733}" name="PivotTable9" cacheId="1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2:H13" firstHeaderRow="1" firstDataRow="1" firstDataCol="0"/>
  <pivotFields count="14">
    <pivotField numFmtId="1" showAll="0"/>
    <pivotField numFmtId="14" showAll="0">
      <items count="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showAll="0"/>
    <pivotField showAll="0"/>
    <pivotField showAll="0"/>
    <pivotField showAll="0"/>
    <pivotField showAll="0"/>
    <pivotField dataField="1" showAll="0"/>
    <pivotField numFmtId="164" showAll="0"/>
    <pivotField numFmtId="164" showAll="0"/>
    <pivotField numFmtId="164" showAll="0"/>
    <pivotField numFmtId="10"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Quantity" fld="7" subtotal="average" baseField="0" baseItem="1"/>
  </dataFields>
  <formats count="3">
    <format dxfId="1199">
      <pivotArea type="all" dataOnly="0" outline="0" fieldPosition="0"/>
    </format>
    <format dxfId="1198">
      <pivotArea outline="0" collapsedLevelsAreSubtotals="1" fieldPosition="0"/>
    </format>
    <format dxfId="1197">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06EF30-FE33-48CA-B39A-CFEFA6E59996}" name="PivotTable8" cacheId="1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7:H8" firstHeaderRow="1" firstDataRow="1" firstDataCol="0"/>
  <pivotFields count="14">
    <pivotField numFmtId="1" showAll="0"/>
    <pivotField numFmtId="14" showAll="0">
      <items count="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showAll="0"/>
    <pivotField showAll="0"/>
    <pivotField showAll="0"/>
    <pivotField showAll="0"/>
    <pivotField showAll="0"/>
    <pivotField showAll="0"/>
    <pivotField numFmtId="164" showAll="0"/>
    <pivotField numFmtId="164" showAll="0"/>
    <pivotField dataField="1" numFmtId="164" showAll="0"/>
    <pivotField numFmtId="10"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Profit" fld="10" baseField="0" baseItem="0" numFmtId="164"/>
  </dataFields>
  <formats count="3">
    <format dxfId="1202">
      <pivotArea type="all" dataOnly="0" outline="0" fieldPosition="0"/>
    </format>
    <format dxfId="1201">
      <pivotArea outline="0" collapsedLevelsAreSubtotals="1" fieldPosition="0"/>
    </format>
    <format dxfId="1200">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1BC01A-871C-412E-AA58-42776D21FC64}" name="PivotTable4" cacheId="16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H20:I21" firstHeaderRow="1" firstDataRow="1" firstDataCol="1"/>
  <pivotFields count="14">
    <pivotField numFmtId="1" showAll="0"/>
    <pivotField numFmtId="14" showAll="0">
      <items count="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showAll="0"/>
    <pivotField showAll="0"/>
    <pivotField showAll="0"/>
    <pivotField axis="axisRow" showAll="0" measureFilter="1">
      <items count="3">
        <item x="0"/>
        <item x="1"/>
        <item t="default"/>
      </items>
    </pivotField>
    <pivotField showAll="0"/>
    <pivotField showAll="0"/>
    <pivotField numFmtId="164" showAll="0"/>
    <pivotField dataField="1" numFmtId="164" showAll="0"/>
    <pivotField numFmtId="164" showAll="0"/>
    <pivotField numFmtId="10"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
    <i>
      <x/>
    </i>
  </rowItems>
  <colItems count="1">
    <i/>
  </colItems>
  <dataFields count="1">
    <dataField name="Sum of TotalSales" fld="9" baseField="0" baseItem="0" numFmtId="164"/>
  </dataFields>
  <formats count="5">
    <format dxfId="1207">
      <pivotArea type="all" dataOnly="0" outline="0" fieldPosition="0"/>
    </format>
    <format dxfId="1206">
      <pivotArea outline="0" collapsedLevelsAreSubtotals="1" fieldPosition="0"/>
    </format>
    <format dxfId="1205">
      <pivotArea field="5" type="button" dataOnly="0" labelOnly="1" outline="0" axis="axisRow" fieldPosition="0"/>
    </format>
    <format dxfId="1204">
      <pivotArea dataOnly="0" labelOnly="1" fieldPosition="0">
        <references count="1">
          <reference field="5" count="1">
            <x v="0"/>
          </reference>
        </references>
      </pivotArea>
    </format>
    <format dxfId="1203">
      <pivotArea dataOnly="0" labelOnly="1" outline="0" axis="axisValues" fieldPosition="0"/>
    </format>
  </formats>
  <pivotTableStyleInfo name="PivotStyleLight16" showRowHeaders="1" showColHeaders="1" showRowStripes="0" showColStripes="0" showLastColumn="1"/>
  <filters count="1">
    <filter fld="5"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26C742-DC38-43F2-A7B9-61CB46CF98C8}" name="PivotTable3" cacheId="16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C20:D23" firstHeaderRow="1" firstDataRow="1" firstDataCol="1"/>
  <pivotFields count="14">
    <pivotField numFmtId="1" showAll="0"/>
    <pivotField numFmtId="14" showAll="0">
      <items count="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showAll="0"/>
    <pivotField axis="axisRow" showAll="0" measureFilter="1" sortType="descending">
      <items count="15">
        <item x="3"/>
        <item x="9"/>
        <item x="4"/>
        <item x="1"/>
        <item x="2"/>
        <item x="10"/>
        <item x="5"/>
        <item x="7"/>
        <item x="12"/>
        <item x="11"/>
        <item x="8"/>
        <item x="13"/>
        <item x="6"/>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pivotField numFmtId="164" showAll="0"/>
    <pivotField dataField="1" numFmtId="164" showAll="0"/>
    <pivotField numFmtId="10"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v="13"/>
    </i>
    <i>
      <x v="1"/>
    </i>
    <i>
      <x v="4"/>
    </i>
  </rowItems>
  <colItems count="1">
    <i/>
  </colItems>
  <dataFields count="1">
    <dataField name="Sum of Profit" fld="10" baseField="0" baseItem="0" numFmtId="164"/>
  </dataFields>
  <formats count="6">
    <format dxfId="1213">
      <pivotArea dataOnly="0" fieldPosition="0">
        <references count="1">
          <reference field="3" count="3">
            <x v="1"/>
            <x v="4"/>
            <x v="13"/>
          </reference>
        </references>
      </pivotArea>
    </format>
    <format dxfId="1212">
      <pivotArea type="all" dataOnly="0" outline="0" fieldPosition="0"/>
    </format>
    <format dxfId="1211">
      <pivotArea outline="0" collapsedLevelsAreSubtotals="1" fieldPosition="0"/>
    </format>
    <format dxfId="1210">
      <pivotArea field="3" type="button" dataOnly="0" labelOnly="1" outline="0" axis="axisRow" fieldPosition="0"/>
    </format>
    <format dxfId="1209">
      <pivotArea dataOnly="0" labelOnly="1" fieldPosition="0">
        <references count="1">
          <reference field="3" count="3">
            <x v="1"/>
            <x v="4"/>
            <x v="13"/>
          </reference>
        </references>
      </pivotArea>
    </format>
    <format dxfId="1208">
      <pivotArea dataOnly="0" labelOnly="1" outline="0" axis="axisValues" fieldPosition="0"/>
    </format>
  </formats>
  <pivotTableStyleInfo name="PivotStyleLight16" showRowHeaders="1" showColHeaders="1" showRowStripes="0" showColStripes="0" showLastColumn="1"/>
  <filters count="1">
    <filter fld="3"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0B4EE53-789A-4A96-91F2-08CC7BE6CB6F}" name="PivotTable6" cacheId="1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L20:M30" firstHeaderRow="1" firstDataRow="1" firstDataCol="1"/>
  <pivotFields count="14">
    <pivotField numFmtId="1" showAll="0"/>
    <pivotField numFmtId="14" showAll="0">
      <items count="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showAll="0"/>
    <pivotField showAll="0"/>
    <pivotField showAll="0"/>
    <pivotField showAll="0"/>
    <pivotField showAll="0"/>
    <pivotField showAll="0"/>
    <pivotField numFmtId="164" showAll="0"/>
    <pivotField numFmtId="164" showAll="0"/>
    <pivotField dataField="1" numFmtId="164" showAll="0"/>
    <pivotField numFmtId="10"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0">
    <i>
      <x v="1"/>
    </i>
    <i>
      <x v="2"/>
    </i>
    <i>
      <x v="3"/>
    </i>
    <i>
      <x v="4"/>
    </i>
    <i>
      <x v="5"/>
    </i>
    <i>
      <x v="6"/>
    </i>
    <i>
      <x v="7"/>
    </i>
    <i>
      <x v="8"/>
    </i>
    <i>
      <x v="9"/>
    </i>
    <i t="grand">
      <x/>
    </i>
  </rowItems>
  <colItems count="1">
    <i/>
  </colItems>
  <dataFields count="1">
    <dataField name="Sum of Profit" fld="10" baseField="0" baseItem="0" numFmtId="164"/>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6BA0E7-5084-4903-8F3F-97FBD253220D}" name="PivotTable5" cacheId="1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L6:M16" firstHeaderRow="1" firstDataRow="1" firstDataCol="1"/>
  <pivotFields count="14">
    <pivotField numFmtId="1" showAll="0"/>
    <pivotField numFmtId="14" showAll="0">
      <items count="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showAll="0"/>
    <pivotField showAll="0"/>
    <pivotField showAll="0"/>
    <pivotField showAll="0"/>
    <pivotField showAll="0"/>
    <pivotField showAll="0"/>
    <pivotField numFmtId="164" showAll="0"/>
    <pivotField dataField="1" numFmtId="164" showAll="0"/>
    <pivotField numFmtId="164" showAll="0"/>
    <pivotField numFmtId="10"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ascending">
      <items count="15">
        <item sd="0" x="1"/>
        <item sd="0" x="2"/>
        <item sd="0" x="3"/>
        <item sd="0" x="4"/>
        <item sd="0" x="5"/>
        <item sd="0" x="6"/>
        <item sd="0" x="7"/>
        <item sd="0" x="8"/>
        <item sd="0" x="9"/>
        <item sd="0" x="10"/>
        <item sd="0" x="11"/>
        <item sd="0" x="12"/>
        <item sd="0" x="0"/>
        <item sd="0" x="13"/>
        <item t="default"/>
      </items>
    </pivotField>
  </pivotFields>
  <rowFields count="1">
    <field x="13"/>
  </rowFields>
  <rowItems count="10">
    <i>
      <x/>
    </i>
    <i>
      <x v="1"/>
    </i>
    <i>
      <x v="2"/>
    </i>
    <i>
      <x v="3"/>
    </i>
    <i>
      <x v="4"/>
    </i>
    <i>
      <x v="5"/>
    </i>
    <i>
      <x v="6"/>
    </i>
    <i>
      <x v="7"/>
    </i>
    <i>
      <x v="8"/>
    </i>
    <i t="grand">
      <x/>
    </i>
  </rowItems>
  <colItems count="1">
    <i/>
  </colItems>
  <dataFields count="1">
    <dataField name="Sum of TotalSales" fld="9" baseField="0" baseItem="0" numFmtId="164"/>
  </dataFields>
  <chartFormats count="2">
    <chartFormat chart="0" format="0"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50D492B-BBB7-4B77-A6C0-2829C4FB4CEE}" name="PivotTable11" cacheId="1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4:E29" firstHeaderRow="0" firstDataRow="1" firstDataCol="1"/>
  <pivotFields count="14">
    <pivotField numFmtId="1" showAll="0"/>
    <pivotField numFmtId="14" showAll="0">
      <items count="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showAll="0">
      <items count="4">
        <item x="2"/>
        <item x="1"/>
        <item x="0"/>
        <item t="default"/>
      </items>
    </pivotField>
    <pivotField axis="axisRow" showAll="0" sortType="ascending">
      <items count="15">
        <item x="0"/>
        <item x="6"/>
        <item x="13"/>
        <item x="8"/>
        <item x="11"/>
        <item x="12"/>
        <item x="7"/>
        <item x="5"/>
        <item x="10"/>
        <item x="2"/>
        <item x="1"/>
        <item x="4"/>
        <item x="9"/>
        <item x="3"/>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0"/>
        <item x="1"/>
        <item x="2"/>
        <item m="1" x="3"/>
        <item t="default"/>
      </items>
    </pivotField>
    <pivotField showAll="0"/>
    <pivotField numFmtId="164" showAll="0"/>
    <pivotField dataField="1" numFmtId="164" showAll="0"/>
    <pivotField dataField="1" numFmtId="164" showAll="0"/>
    <pivotField numFmtId="10"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15">
    <i>
      <x v="2"/>
    </i>
    <i>
      <x v="8"/>
    </i>
    <i>
      <x v="5"/>
    </i>
    <i>
      <x v="11"/>
    </i>
    <i>
      <x v="1"/>
    </i>
    <i>
      <x v="4"/>
    </i>
    <i>
      <x v="13"/>
    </i>
    <i>
      <x v="7"/>
    </i>
    <i>
      <x v="3"/>
    </i>
    <i>
      <x v="10"/>
    </i>
    <i>
      <x v="6"/>
    </i>
    <i>
      <x v="9"/>
    </i>
    <i>
      <x v="12"/>
    </i>
    <i>
      <x/>
    </i>
    <i t="grand">
      <x/>
    </i>
  </rowItems>
  <colFields count="1">
    <field x="-2"/>
  </colFields>
  <colItems count="2">
    <i>
      <x/>
    </i>
    <i i="1">
      <x v="1"/>
    </i>
  </colItems>
  <dataFields count="2">
    <dataField name="Sum of TotalSales" fld="9" baseField="0" baseItem="0" numFmtId="164"/>
    <dataField name="Sum of Profit" fld="10" baseField="0" baseItem="0" numFmtId="164"/>
  </dataFields>
  <formats count="5">
    <format dxfId="1182">
      <pivotArea type="all" dataOnly="0" outline="0" fieldPosition="0"/>
    </format>
    <format dxfId="1181">
      <pivotArea outline="0" collapsedLevelsAreSubtotals="1" fieldPosition="0"/>
    </format>
    <format dxfId="1180">
      <pivotArea field="2" type="button" dataOnly="0" labelOnly="1" outline="0"/>
    </format>
    <format dxfId="1179">
      <pivotArea dataOnly="0" labelOnly="1" grandRow="1" outline="0" fieldPosition="0"/>
    </format>
    <format dxfId="1178">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BAB110F-CFFD-49EF-A7FA-33913F4934C1}" name="PivotTable10" cacheId="1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C6:E10" firstHeaderRow="0" firstDataRow="1" firstDataCol="1"/>
  <pivotFields count="14">
    <pivotField numFmtId="1" showAll="0"/>
    <pivotField numFmtId="14" showAll="0">
      <items count="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axis="axisRow" showAll="0">
      <items count="4">
        <item x="2"/>
        <item x="1"/>
        <item x="0"/>
        <item t="default"/>
      </items>
    </pivotField>
    <pivotField showAll="0"/>
    <pivotField showAll="0"/>
    <pivotField showAll="0">
      <items count="3">
        <item x="0"/>
        <item x="1"/>
        <item t="default"/>
      </items>
    </pivotField>
    <pivotField showAll="0">
      <items count="5">
        <item x="0"/>
        <item x="1"/>
        <item x="2"/>
        <item m="1" x="3"/>
        <item t="default"/>
      </items>
    </pivotField>
    <pivotField showAll="0"/>
    <pivotField numFmtId="164" showAll="0"/>
    <pivotField dataField="1" numFmtId="164" showAll="0"/>
    <pivotField dataField="1" numFmtId="164" showAll="0"/>
    <pivotField numFmtId="10"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i>
    <i>
      <x v="1"/>
    </i>
    <i>
      <x v="2"/>
    </i>
    <i t="grand">
      <x/>
    </i>
  </rowItems>
  <colFields count="1">
    <field x="-2"/>
  </colFields>
  <colItems count="2">
    <i>
      <x/>
    </i>
    <i i="1">
      <x v="1"/>
    </i>
  </colItems>
  <dataFields count="2">
    <dataField name="Sum of TotalSales" fld="9" baseField="0" baseItem="0" numFmtId="164"/>
    <dataField name="Sum of Profit" fld="10" baseField="0" baseItem="0" numFmtId="164"/>
  </dataFields>
  <formats count="6">
    <format dxfId="1188">
      <pivotArea type="all" dataOnly="0" outline="0" fieldPosition="0"/>
    </format>
    <format dxfId="1187">
      <pivotArea outline="0" collapsedLevelsAreSubtotals="1" fieldPosition="0"/>
    </format>
    <format dxfId="1186">
      <pivotArea field="2" type="button" dataOnly="0" labelOnly="1" outline="0" axis="axisRow" fieldPosition="0"/>
    </format>
    <format dxfId="1185">
      <pivotArea dataOnly="0" labelOnly="1" fieldPosition="0">
        <references count="1">
          <reference field="2" count="0"/>
        </references>
      </pivotArea>
    </format>
    <format dxfId="1184">
      <pivotArea dataOnly="0" labelOnly="1" grandRow="1" outline="0" fieldPosition="0"/>
    </format>
    <format dxfId="1183">
      <pivotArea dataOnly="0" labelOnly="1" outline="0" fieldPosition="0">
        <references count="1">
          <reference field="4294967294" count="2">
            <x v="0"/>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3" format="2"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1"/>
          </reference>
        </references>
      </pivotArea>
    </chartFormat>
    <chartFormat chart="25"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1"/>
          </reference>
        </references>
      </pivotArea>
    </chartFormat>
    <chartFormat chart="27" format="6" series="1">
      <pivotArea type="data" outline="0" fieldPosition="0">
        <references count="1">
          <reference field="4294967294" count="1" selected="0">
            <x v="0"/>
          </reference>
        </references>
      </pivotArea>
    </chartFormat>
    <chartFormat chart="27"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A8D10B5-E1F7-4D2A-852C-AD1E9FEEE831}" name="PivotTable15" cacheId="1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5:E19" firstHeaderRow="0" firstDataRow="1" firstDataCol="1"/>
  <pivotFields count="14">
    <pivotField numFmtId="1" showAll="0"/>
    <pivotField numFmtId="14" showAll="0">
      <items count="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showAll="0"/>
    <pivotField showAll="0"/>
    <pivotField showAll="0"/>
    <pivotField showAll="0"/>
    <pivotField axis="axisRow" showAll="0" sortType="descending">
      <items count="5">
        <item x="0"/>
        <item x="1"/>
        <item x="2"/>
        <item m="1" x="3"/>
        <item t="default"/>
      </items>
      <autoSortScope>
        <pivotArea dataOnly="0" outline="0" fieldPosition="0">
          <references count="1">
            <reference field="4294967294" count="1" selected="0">
              <x v="0"/>
            </reference>
          </references>
        </pivotArea>
      </autoSortScope>
    </pivotField>
    <pivotField showAll="0"/>
    <pivotField numFmtId="164" showAll="0"/>
    <pivotField numFmtId="164" showAll="0"/>
    <pivotField dataField="1" numFmtId="164" showAll="0"/>
    <pivotField dataField="1" numFmtId="10"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4">
    <i>
      <x v="2"/>
    </i>
    <i>
      <x/>
    </i>
    <i>
      <x v="1"/>
    </i>
    <i t="grand">
      <x/>
    </i>
  </rowItems>
  <colFields count="1">
    <field x="-2"/>
  </colFields>
  <colItems count="2">
    <i>
      <x/>
    </i>
    <i i="1">
      <x v="1"/>
    </i>
  </colItems>
  <dataFields count="2">
    <dataField name="Average of Profit" fld="10" subtotal="average" baseField="6" baseItem="0" numFmtId="164"/>
    <dataField name="Max of ProfitMargin(%)" fld="11" subtotal="max" baseField="6" baseItem="2" numFmtId="10"/>
  </dataFields>
  <formats count="6">
    <format dxfId="1171">
      <pivotArea type="all" dataOnly="0" outline="0" fieldPosition="0"/>
    </format>
    <format dxfId="1170">
      <pivotArea outline="0" collapsedLevelsAreSubtotals="1" fieldPosition="0"/>
    </format>
    <format dxfId="1169">
      <pivotArea field="6" type="button" dataOnly="0" labelOnly="1" outline="0" axis="axisRow" fieldPosition="0"/>
    </format>
    <format dxfId="1168">
      <pivotArea dataOnly="0" labelOnly="1" fieldPosition="0">
        <references count="1">
          <reference field="6" count="0"/>
        </references>
      </pivotArea>
    </format>
    <format dxfId="1167">
      <pivotArea dataOnly="0" labelOnly="1" grandRow="1" outline="0" fieldPosition="0"/>
    </format>
    <format dxfId="1166">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A0F2E5D-DA01-4E9D-8E47-0C65C9A13764}" name="PivotTable14" cacheId="1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E10" firstHeaderRow="0" firstDataRow="1" firstDataCol="1"/>
  <pivotFields count="14">
    <pivotField numFmtId="1" showAll="0"/>
    <pivotField numFmtId="14" showAll="0">
      <items count="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showAll="0"/>
    <pivotField showAll="0"/>
    <pivotField showAll="0"/>
    <pivotField showAll="0"/>
    <pivotField axis="axisRow" showAll="0" sortType="descending">
      <items count="5">
        <item x="0"/>
        <item x="1"/>
        <item x="2"/>
        <item m="1" x="3"/>
        <item t="default"/>
      </items>
      <autoSortScope>
        <pivotArea dataOnly="0" outline="0" fieldPosition="0">
          <references count="1">
            <reference field="4294967294" count="1" selected="0">
              <x v="0"/>
            </reference>
          </references>
        </pivotArea>
      </autoSortScope>
    </pivotField>
    <pivotField showAll="0"/>
    <pivotField numFmtId="164" showAll="0"/>
    <pivotField dataField="1" numFmtId="164" showAll="0"/>
    <pivotField dataField="1" numFmtId="164" showAll="0"/>
    <pivotField numFmtId="10"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4">
    <i>
      <x v="2"/>
    </i>
    <i>
      <x/>
    </i>
    <i>
      <x v="1"/>
    </i>
    <i t="grand">
      <x/>
    </i>
  </rowItems>
  <colFields count="1">
    <field x="-2"/>
  </colFields>
  <colItems count="2">
    <i>
      <x/>
    </i>
    <i i="1">
      <x v="1"/>
    </i>
  </colItems>
  <dataFields count="2">
    <dataField name="Sum of TotalSales" fld="9" baseField="0" baseItem="0" numFmtId="164"/>
    <dataField name="Sum of Profit" fld="10" baseField="0" baseItem="0" numFmtId="164"/>
  </dataFields>
  <formats count="6">
    <format dxfId="1177">
      <pivotArea type="all" dataOnly="0" outline="0" fieldPosition="0"/>
    </format>
    <format dxfId="1176">
      <pivotArea outline="0" collapsedLevelsAreSubtotals="1" fieldPosition="0"/>
    </format>
    <format dxfId="1175">
      <pivotArea field="6" type="button" dataOnly="0" labelOnly="1" outline="0" axis="axisRow" fieldPosition="0"/>
    </format>
    <format dxfId="1174">
      <pivotArea dataOnly="0" labelOnly="1" fieldPosition="0">
        <references count="1">
          <reference field="6" count="0"/>
        </references>
      </pivotArea>
    </format>
    <format dxfId="1173">
      <pivotArea dataOnly="0" labelOnly="1" grandRow="1" outline="0" fieldPosition="0"/>
    </format>
    <format dxfId="117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96B3E69-66CF-48A3-98A2-04918622C489}" name="PivotTable17" cacheId="1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3:E22" firstHeaderRow="0" firstDataRow="1" firstDataCol="1"/>
  <pivotFields count="14">
    <pivotField numFmtId="1" showAll="0"/>
    <pivotField numFmtId="14" showAll="0">
      <items count="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showAll="0"/>
    <pivotField showAll="0"/>
    <pivotField axis="axisRow" showAll="0" sortType="descending">
      <items count="9">
        <item x="7"/>
        <item x="4"/>
        <item x="0"/>
        <item x="5"/>
        <item x="3"/>
        <item x="6"/>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dataField="1" numFmtId="164" showAll="0"/>
    <pivotField dataField="1" numFmtId="164" showAll="0"/>
    <pivotField numFmtId="10"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9">
    <i>
      <x v="6"/>
    </i>
    <i>
      <x v="2"/>
    </i>
    <i>
      <x v="7"/>
    </i>
    <i>
      <x v="3"/>
    </i>
    <i>
      <x v="1"/>
    </i>
    <i>
      <x v="5"/>
    </i>
    <i>
      <x v="4"/>
    </i>
    <i>
      <x/>
    </i>
    <i t="grand">
      <x/>
    </i>
  </rowItems>
  <colFields count="1">
    <field x="-2"/>
  </colFields>
  <colItems count="2">
    <i>
      <x/>
    </i>
    <i i="1">
      <x v="1"/>
    </i>
  </colItems>
  <dataFields count="2">
    <dataField name="Sum of TotalSales" fld="9" baseField="0" baseItem="0" numFmtId="164"/>
    <dataField name="Sum of Profit" fld="10" baseField="0" baseItem="0" numFmtId="164"/>
  </dataFields>
  <formats count="6">
    <format dxfId="1159">
      <pivotArea type="all" dataOnly="0" outline="0" fieldPosition="0"/>
    </format>
    <format dxfId="1158">
      <pivotArea outline="0" collapsedLevelsAreSubtotals="1" fieldPosition="0"/>
    </format>
    <format dxfId="1157">
      <pivotArea field="4" type="button" dataOnly="0" labelOnly="1" outline="0" axis="axisRow" fieldPosition="0"/>
    </format>
    <format dxfId="1156">
      <pivotArea dataOnly="0" labelOnly="1" fieldPosition="0">
        <references count="1">
          <reference field="4" count="0"/>
        </references>
      </pivotArea>
    </format>
    <format dxfId="1155">
      <pivotArea dataOnly="0" labelOnly="1" grandRow="1" outline="0" fieldPosition="0"/>
    </format>
    <format dxfId="1154">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AF65BF1-6611-4901-BFB3-E3DD7D5C7933}" name="PivotTable16" cacheId="1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D9" firstHeaderRow="1" firstDataRow="1" firstDataCol="1"/>
  <pivotFields count="14">
    <pivotField numFmtId="1" showAll="0"/>
    <pivotField numFmtId="14" showAll="0">
      <items count="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showAll="0"/>
    <pivotField showAll="0"/>
    <pivotField showAll="0"/>
    <pivotField axis="axisRow" showAll="0">
      <items count="3">
        <item x="0"/>
        <item x="1"/>
        <item t="default"/>
      </items>
    </pivotField>
    <pivotField showAll="0"/>
    <pivotField showAll="0"/>
    <pivotField numFmtId="164" showAll="0"/>
    <pivotField dataField="1" numFmtId="164" showAll="0"/>
    <pivotField numFmtId="164" showAll="0"/>
    <pivotField numFmtId="10"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3">
    <i>
      <x/>
    </i>
    <i>
      <x v="1"/>
    </i>
    <i t="grand">
      <x/>
    </i>
  </rowItems>
  <colItems count="1">
    <i/>
  </colItems>
  <dataFields count="1">
    <dataField name="Sum of TotalSales" fld="9" showDataAs="percentOfTotal" baseField="0" baseItem="0" numFmtId="10"/>
  </dataFields>
  <formats count="6">
    <format dxfId="1165">
      <pivotArea type="all" dataOnly="0" outline="0" fieldPosition="0"/>
    </format>
    <format dxfId="1164">
      <pivotArea outline="0" collapsedLevelsAreSubtotals="1" fieldPosition="0"/>
    </format>
    <format dxfId="1163">
      <pivotArea field="5" type="button" dataOnly="0" labelOnly="1" outline="0" axis="axisRow" fieldPosition="0"/>
    </format>
    <format dxfId="1162">
      <pivotArea dataOnly="0" labelOnly="1" fieldPosition="0">
        <references count="1">
          <reference field="5" count="0"/>
        </references>
      </pivotArea>
    </format>
    <format dxfId="1161">
      <pivotArea dataOnly="0" labelOnly="1" grandRow="1" outline="0" fieldPosition="0"/>
    </format>
    <format dxfId="116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2B1BC9B-7A75-4481-90AF-00AA1EA78C5A}" sourceName="Region">
  <pivotTables>
    <pivotTable tabId="11" name="PivotTable10"/>
  </pivotTables>
  <data>
    <tabular pivotCacheId="38838102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E1D52F8-F814-4948-9C03-39A19DAA26AA}" sourceName="Category">
  <pivotTables>
    <pivotTable tabId="11" name="PivotTable10"/>
  </pivotTables>
  <data>
    <tabular pivotCacheId="38838102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8C62EDBA-4A83-426E-9435-315838AA67DD}" sourceName="Salesperson">
  <pivotTables>
    <pivotTable tabId="11" name="PivotTable10"/>
  </pivotTables>
  <data>
    <tabular pivotCacheId="388381028">
      <items count="4">
        <i x="0" s="1"/>
        <i x="1" s="1"/>
        <i x="2"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1" xr10:uid="{A5E2D2DC-D267-4C2F-A549-EE121E3B0150}" sourceName="Salesperson">
  <pivotTables>
    <pivotTable tabId="11" name="PivotTable11"/>
  </pivotTables>
  <data>
    <tabular pivotCacheId="388381028">
      <items count="4">
        <i x="0" s="1"/>
        <i x="1" s="1"/>
        <i x="2"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7CC1FDC-928C-4870-8BC6-DE9A9A2AD88C}" cache="Slicer_Region" caption="Region" rowHeight="247650"/>
  <slicer name="Category" xr10:uid="{CB0257BE-A37F-47FE-A214-97B11DCEAF28}" cache="Slicer_Category" caption="Category" rowHeight="247650"/>
  <slicer name="Salesperson" xr10:uid="{A0FFCA06-6B39-46D5-A837-8CEA2EA68104}" cache="Slicer_Salesperson1" caption="Salespers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B99713B-7735-4F9A-8D01-C0CCE443C634}" cache="Slicer_Region" caption="Region" rowHeight="247650"/>
  <slicer name="Category 1" xr10:uid="{5A0F71A0-8AD4-4A65-A082-087F865ACECF}" cache="Slicer_Category" caption="Category" rowHeight="247650"/>
  <slicer name="Salesperson 1" xr10:uid="{87EE4A3E-FBA0-4FAE-B6F0-EBFBFD1990C8}" cache="Slicer_Salesperson" caption="Salespers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6FE872-0FBE-4A34-9934-32AD3328A056}" name="Sales_table" displayName="Sales_table" ref="A1:L79" totalsRowShown="0" headerRowDxfId="1230" dataDxfId="1228" headerRowBorderDxfId="1229" tableBorderDxfId="1227" totalsRowBorderDxfId="1226" dataCellStyle="Currency">
  <autoFilter ref="A1:L79" xr:uid="{906FE872-0FBE-4A34-9934-32AD3328A056}"/>
  <tableColumns count="12">
    <tableColumn id="1" xr3:uid="{2F824ABD-57F4-4CE3-A797-1AF821DD66EA}" name="OrderID" dataDxfId="1225"/>
    <tableColumn id="2" xr3:uid="{72E0D7BD-C44B-413D-8984-15BBEDB7A333}" name="OrderDate" dataDxfId="1224"/>
    <tableColumn id="3" xr3:uid="{56D70255-9DB4-444B-9311-1FBC053BE19F}" name="Region" dataDxfId="1223"/>
    <tableColumn id="4" xr3:uid="{E6F70F18-A124-4B84-9C60-81073E79FF24}" name="Country" dataDxfId="1222"/>
    <tableColumn id="5" xr3:uid="{35AEA336-95AF-42EF-9267-2A1EB68F9688}" name="Product" dataDxfId="1221"/>
    <tableColumn id="6" xr3:uid="{4D30961B-4956-4853-8F94-6C40C2A881A3}" name="Category" dataDxfId="1220"/>
    <tableColumn id="7" xr3:uid="{F8AF5776-81AE-490F-A69E-82C6861E1279}" name="Salesperson" dataDxfId="1219"/>
    <tableColumn id="8" xr3:uid="{FDB2D7FF-D4B8-45FC-9918-049A82DFF57F}" name="Quantity" dataDxfId="1218"/>
    <tableColumn id="9" xr3:uid="{4DA9A104-70D6-4474-95B9-D382DE3D3EC3}" name="UnitPrice" dataDxfId="1217" dataCellStyle="Currency"/>
    <tableColumn id="10" xr3:uid="{E7E37823-7372-47A4-B076-0BF99E14707E}" name="TotalSales" dataDxfId="1216" dataCellStyle="Currency"/>
    <tableColumn id="11" xr3:uid="{94C01115-7BDF-4C8B-9DE1-B58ABB80DBFF}" name="Profit" dataDxfId="1215" dataCellStyle="Currency"/>
    <tableColumn id="12" xr3:uid="{F6321481-593F-48B7-801E-B13636545542}" name="ProfitMargin(%)" dataDxfId="1214">
      <calculatedColumnFormula>K2/J2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8299B-2A7B-474C-BDD3-7CA97F698719}">
  <dimension ref="A1:L79"/>
  <sheetViews>
    <sheetView topLeftCell="A50" workbookViewId="0">
      <selection activeCell="N79" sqref="N79"/>
    </sheetView>
  </sheetViews>
  <sheetFormatPr defaultRowHeight="14.4" x14ac:dyDescent="0.3"/>
  <cols>
    <col min="1" max="1" width="13.21875" style="4" bestFit="1" customWidth="1"/>
    <col min="2" max="2" width="16.5546875" style="3" bestFit="1" customWidth="1"/>
    <col min="3" max="3" width="14" style="6" bestFit="1" customWidth="1"/>
    <col min="4" max="4" width="13.33203125" style="6" bestFit="1" customWidth="1"/>
    <col min="5" max="5" width="13.21875" style="6" bestFit="1" customWidth="1"/>
    <col min="6" max="6" width="14.5546875" style="6" bestFit="1" customWidth="1"/>
    <col min="7" max="7" width="18.88671875" style="6" bestFit="1" customWidth="1"/>
    <col min="8" max="8" width="14.109375" bestFit="1" customWidth="1"/>
    <col min="9" max="9" width="15.109375" bestFit="1" customWidth="1"/>
    <col min="10" max="10" width="16.44140625" bestFit="1" customWidth="1"/>
    <col min="11" max="11" width="10.33203125" bestFit="1" customWidth="1"/>
    <col min="12" max="12" width="22.88671875" style="8" bestFit="1" customWidth="1"/>
  </cols>
  <sheetData>
    <row r="1" spans="1:12" ht="21" x14ac:dyDescent="0.4">
      <c r="A1" s="12" t="s">
        <v>0</v>
      </c>
      <c r="B1" s="13" t="s">
        <v>1</v>
      </c>
      <c r="C1" s="14" t="s">
        <v>2</v>
      </c>
      <c r="D1" s="14" t="s">
        <v>3</v>
      </c>
      <c r="E1" s="14" t="s">
        <v>4</v>
      </c>
      <c r="F1" s="14" t="s">
        <v>5</v>
      </c>
      <c r="G1" s="14" t="s">
        <v>6</v>
      </c>
      <c r="H1" s="15" t="s">
        <v>7</v>
      </c>
      <c r="I1" s="15" t="s">
        <v>8</v>
      </c>
      <c r="J1" s="15" t="s">
        <v>9</v>
      </c>
      <c r="K1" s="15" t="s">
        <v>10</v>
      </c>
      <c r="L1" s="16" t="s">
        <v>41</v>
      </c>
    </row>
    <row r="2" spans="1:12" ht="15.6" x14ac:dyDescent="0.3">
      <c r="A2" s="9">
        <v>1001</v>
      </c>
      <c r="B2" s="1">
        <v>45296</v>
      </c>
      <c r="C2" s="5" t="s">
        <v>11</v>
      </c>
      <c r="D2" s="5" t="s">
        <v>12</v>
      </c>
      <c r="E2" s="5" t="s">
        <v>13</v>
      </c>
      <c r="F2" s="5" t="s">
        <v>14</v>
      </c>
      <c r="G2" s="5" t="s">
        <v>15</v>
      </c>
      <c r="H2" s="7">
        <v>2</v>
      </c>
      <c r="I2" s="2">
        <v>900</v>
      </c>
      <c r="J2" s="2">
        <v>1800</v>
      </c>
      <c r="K2" s="2">
        <v>300</v>
      </c>
      <c r="L2" s="11">
        <f>K2/J2</f>
        <v>0.16666666666666666</v>
      </c>
    </row>
    <row r="3" spans="1:12" ht="15.6" x14ac:dyDescent="0.3">
      <c r="A3" s="9">
        <v>1002</v>
      </c>
      <c r="B3" s="1">
        <v>45299</v>
      </c>
      <c r="C3" s="5" t="s">
        <v>16</v>
      </c>
      <c r="D3" s="5" t="s">
        <v>17</v>
      </c>
      <c r="E3" s="5" t="s">
        <v>18</v>
      </c>
      <c r="F3" s="5" t="s">
        <v>14</v>
      </c>
      <c r="G3" s="5" t="s">
        <v>19</v>
      </c>
      <c r="H3" s="7">
        <v>5</v>
      </c>
      <c r="I3" s="2">
        <v>600</v>
      </c>
      <c r="J3" s="2">
        <v>3000</v>
      </c>
      <c r="K3" s="2">
        <v>500</v>
      </c>
      <c r="L3" s="11">
        <f t="shared" ref="L3:L66" si="0">K3/J3</f>
        <v>0.16666666666666666</v>
      </c>
    </row>
    <row r="4" spans="1:12" ht="15.6" x14ac:dyDescent="0.3">
      <c r="A4" s="9">
        <v>1003</v>
      </c>
      <c r="B4" s="1">
        <v>45301</v>
      </c>
      <c r="C4" s="5" t="s">
        <v>20</v>
      </c>
      <c r="D4" s="5" t="s">
        <v>21</v>
      </c>
      <c r="E4" s="5" t="s">
        <v>22</v>
      </c>
      <c r="F4" s="5" t="s">
        <v>14</v>
      </c>
      <c r="G4" s="5" t="s">
        <v>23</v>
      </c>
      <c r="H4" s="7">
        <v>3</v>
      </c>
      <c r="I4" s="2">
        <v>400</v>
      </c>
      <c r="J4" s="2">
        <v>1200</v>
      </c>
      <c r="K4" s="2">
        <v>200</v>
      </c>
      <c r="L4" s="11">
        <f t="shared" si="0"/>
        <v>0.16666666666666666</v>
      </c>
    </row>
    <row r="5" spans="1:12" ht="15.6" x14ac:dyDescent="0.3">
      <c r="A5" s="9">
        <v>1004</v>
      </c>
      <c r="B5" s="1">
        <v>45306</v>
      </c>
      <c r="C5" s="5" t="s">
        <v>11</v>
      </c>
      <c r="D5" s="5" t="s">
        <v>24</v>
      </c>
      <c r="E5" s="5" t="s">
        <v>25</v>
      </c>
      <c r="F5" s="5" t="s">
        <v>26</v>
      </c>
      <c r="G5" s="5" t="s">
        <v>15</v>
      </c>
      <c r="H5" s="7">
        <v>4</v>
      </c>
      <c r="I5" s="2">
        <v>150</v>
      </c>
      <c r="J5" s="2">
        <v>600</v>
      </c>
      <c r="K5" s="2">
        <v>120</v>
      </c>
      <c r="L5" s="11">
        <f t="shared" si="0"/>
        <v>0.2</v>
      </c>
    </row>
    <row r="6" spans="1:12" ht="15.6" x14ac:dyDescent="0.3">
      <c r="A6" s="9">
        <v>1005</v>
      </c>
      <c r="B6" s="1">
        <v>45311</v>
      </c>
      <c r="C6" s="5" t="s">
        <v>16</v>
      </c>
      <c r="D6" s="5" t="s">
        <v>27</v>
      </c>
      <c r="E6" s="5" t="s">
        <v>28</v>
      </c>
      <c r="F6" s="5" t="s">
        <v>26</v>
      </c>
      <c r="G6" s="5" t="s">
        <v>19</v>
      </c>
      <c r="H6" s="7">
        <v>2</v>
      </c>
      <c r="I6" s="2">
        <v>350</v>
      </c>
      <c r="J6" s="2">
        <v>700</v>
      </c>
      <c r="K6" s="2">
        <v>150</v>
      </c>
      <c r="L6" s="11">
        <f t="shared" si="0"/>
        <v>0.21428571428571427</v>
      </c>
    </row>
    <row r="7" spans="1:12" ht="15.6" x14ac:dyDescent="0.3">
      <c r="A7" s="9">
        <v>1006</v>
      </c>
      <c r="B7" s="1">
        <v>45324</v>
      </c>
      <c r="C7" s="5" t="s">
        <v>20</v>
      </c>
      <c r="D7" s="5" t="s">
        <v>29</v>
      </c>
      <c r="E7" s="5" t="s">
        <v>13</v>
      </c>
      <c r="F7" s="5" t="s">
        <v>14</v>
      </c>
      <c r="G7" s="5" t="s">
        <v>23</v>
      </c>
      <c r="H7" s="7">
        <v>1</v>
      </c>
      <c r="I7" s="2">
        <v>950</v>
      </c>
      <c r="J7" s="2">
        <v>950</v>
      </c>
      <c r="K7" s="2">
        <v>180</v>
      </c>
      <c r="L7" s="11">
        <f t="shared" si="0"/>
        <v>0.18947368421052632</v>
      </c>
    </row>
    <row r="8" spans="1:12" ht="15.6" x14ac:dyDescent="0.3">
      <c r="A8" s="9">
        <v>1007</v>
      </c>
      <c r="B8" s="1">
        <v>45327</v>
      </c>
      <c r="C8" s="5" t="s">
        <v>11</v>
      </c>
      <c r="D8" s="5" t="s">
        <v>12</v>
      </c>
      <c r="E8" s="5" t="s">
        <v>30</v>
      </c>
      <c r="F8" s="5" t="s">
        <v>14</v>
      </c>
      <c r="G8" s="5" t="s">
        <v>15</v>
      </c>
      <c r="H8" s="7">
        <v>3</v>
      </c>
      <c r="I8" s="2">
        <v>250</v>
      </c>
      <c r="J8" s="2">
        <v>750</v>
      </c>
      <c r="K8" s="2">
        <v>140</v>
      </c>
      <c r="L8" s="11">
        <f t="shared" si="0"/>
        <v>0.18666666666666668</v>
      </c>
    </row>
    <row r="9" spans="1:12" ht="15.6" x14ac:dyDescent="0.3">
      <c r="A9" s="9">
        <v>1008</v>
      </c>
      <c r="B9" s="1">
        <v>45332</v>
      </c>
      <c r="C9" s="5" t="s">
        <v>16</v>
      </c>
      <c r="D9" s="5" t="s">
        <v>31</v>
      </c>
      <c r="E9" s="5" t="s">
        <v>32</v>
      </c>
      <c r="F9" s="5" t="s">
        <v>14</v>
      </c>
      <c r="G9" s="5" t="s">
        <v>19</v>
      </c>
      <c r="H9" s="7">
        <v>2</v>
      </c>
      <c r="I9" s="2">
        <v>300</v>
      </c>
      <c r="J9" s="2">
        <v>600</v>
      </c>
      <c r="K9" s="2">
        <v>100</v>
      </c>
      <c r="L9" s="11">
        <f t="shared" si="0"/>
        <v>0.16666666666666666</v>
      </c>
    </row>
    <row r="10" spans="1:12" ht="15.6" x14ac:dyDescent="0.3">
      <c r="A10" s="9">
        <v>1009</v>
      </c>
      <c r="B10" s="1">
        <v>45336</v>
      </c>
      <c r="C10" s="5" t="s">
        <v>20</v>
      </c>
      <c r="D10" s="5" t="s">
        <v>21</v>
      </c>
      <c r="E10" s="5" t="s">
        <v>33</v>
      </c>
      <c r="F10" s="5" t="s">
        <v>26</v>
      </c>
      <c r="G10" s="5" t="s">
        <v>23</v>
      </c>
      <c r="H10" s="7">
        <v>1</v>
      </c>
      <c r="I10" s="2">
        <v>200</v>
      </c>
      <c r="J10" s="2">
        <v>200</v>
      </c>
      <c r="K10" s="2">
        <v>50</v>
      </c>
      <c r="L10" s="11">
        <f t="shared" si="0"/>
        <v>0.25</v>
      </c>
    </row>
    <row r="11" spans="1:12" ht="15.6" x14ac:dyDescent="0.3">
      <c r="A11" s="9">
        <v>1010</v>
      </c>
      <c r="B11" s="1">
        <v>45342</v>
      </c>
      <c r="C11" s="5" t="s">
        <v>11</v>
      </c>
      <c r="D11" s="5" t="s">
        <v>34</v>
      </c>
      <c r="E11" s="5" t="s">
        <v>22</v>
      </c>
      <c r="F11" s="5" t="s">
        <v>14</v>
      </c>
      <c r="G11" s="5" t="s">
        <v>15</v>
      </c>
      <c r="H11" s="7">
        <v>4</v>
      </c>
      <c r="I11" s="2">
        <v>420</v>
      </c>
      <c r="J11" s="2">
        <v>1680</v>
      </c>
      <c r="K11" s="2">
        <v>260</v>
      </c>
      <c r="L11" s="11">
        <f t="shared" si="0"/>
        <v>0.15476190476190477</v>
      </c>
    </row>
    <row r="12" spans="1:12" ht="15.6" x14ac:dyDescent="0.3">
      <c r="A12" s="9">
        <v>1011</v>
      </c>
      <c r="B12" s="1">
        <v>45352</v>
      </c>
      <c r="C12" s="5" t="s">
        <v>16</v>
      </c>
      <c r="D12" s="5" t="s">
        <v>35</v>
      </c>
      <c r="E12" s="5" t="s">
        <v>13</v>
      </c>
      <c r="F12" s="5" t="s">
        <v>14</v>
      </c>
      <c r="G12" s="5" t="s">
        <v>19</v>
      </c>
      <c r="H12" s="7">
        <v>2</v>
      </c>
      <c r="I12" s="2">
        <v>880</v>
      </c>
      <c r="J12" s="2">
        <v>1760</v>
      </c>
      <c r="K12" s="2">
        <v>290</v>
      </c>
      <c r="L12" s="11">
        <f t="shared" si="0"/>
        <v>0.16477272727272727</v>
      </c>
    </row>
    <row r="13" spans="1:12" ht="15.6" x14ac:dyDescent="0.3">
      <c r="A13" s="9">
        <v>1012</v>
      </c>
      <c r="B13" s="1">
        <v>45356</v>
      </c>
      <c r="C13" s="5" t="s">
        <v>20</v>
      </c>
      <c r="D13" s="5" t="s">
        <v>36</v>
      </c>
      <c r="E13" s="5" t="s">
        <v>18</v>
      </c>
      <c r="F13" s="5" t="s">
        <v>14</v>
      </c>
      <c r="G13" s="5" t="s">
        <v>23</v>
      </c>
      <c r="H13" s="7">
        <v>6</v>
      </c>
      <c r="I13" s="2">
        <v>580</v>
      </c>
      <c r="J13" s="2">
        <v>3480</v>
      </c>
      <c r="K13" s="2">
        <v>620</v>
      </c>
      <c r="L13" s="11">
        <f t="shared" si="0"/>
        <v>0.17816091954022989</v>
      </c>
    </row>
    <row r="14" spans="1:12" ht="15.6" x14ac:dyDescent="0.3">
      <c r="A14" s="9">
        <v>1013</v>
      </c>
      <c r="B14" s="1">
        <v>45361</v>
      </c>
      <c r="C14" s="5" t="s">
        <v>11</v>
      </c>
      <c r="D14" s="5" t="s">
        <v>12</v>
      </c>
      <c r="E14" s="5" t="s">
        <v>28</v>
      </c>
      <c r="F14" s="5" t="s">
        <v>26</v>
      </c>
      <c r="G14" s="5" t="s">
        <v>15</v>
      </c>
      <c r="H14" s="7">
        <v>3</v>
      </c>
      <c r="I14" s="2">
        <v>360</v>
      </c>
      <c r="J14" s="2">
        <v>1080</v>
      </c>
      <c r="K14" s="2">
        <v>210</v>
      </c>
      <c r="L14" s="11">
        <f t="shared" si="0"/>
        <v>0.19444444444444445</v>
      </c>
    </row>
    <row r="15" spans="1:12" ht="15.6" x14ac:dyDescent="0.3">
      <c r="A15" s="9">
        <v>1014</v>
      </c>
      <c r="B15" s="1">
        <v>45366</v>
      </c>
      <c r="C15" s="5" t="s">
        <v>16</v>
      </c>
      <c r="D15" s="5" t="s">
        <v>37</v>
      </c>
      <c r="E15" s="5" t="s">
        <v>30</v>
      </c>
      <c r="F15" s="5" t="s">
        <v>14</v>
      </c>
      <c r="G15" s="5" t="s">
        <v>19</v>
      </c>
      <c r="H15" s="7">
        <v>4</v>
      </c>
      <c r="I15" s="2">
        <v>240</v>
      </c>
      <c r="J15" s="2">
        <v>960</v>
      </c>
      <c r="K15" s="2">
        <v>180</v>
      </c>
      <c r="L15" s="11">
        <f t="shared" si="0"/>
        <v>0.1875</v>
      </c>
    </row>
    <row r="16" spans="1:12" ht="15.6" x14ac:dyDescent="0.3">
      <c r="A16" s="9">
        <v>1015</v>
      </c>
      <c r="B16" s="1">
        <v>45369</v>
      </c>
      <c r="C16" s="5" t="s">
        <v>20</v>
      </c>
      <c r="D16" s="5" t="s">
        <v>38</v>
      </c>
      <c r="E16" s="5" t="s">
        <v>13</v>
      </c>
      <c r="F16" s="5" t="s">
        <v>14</v>
      </c>
      <c r="G16" s="5" t="s">
        <v>23</v>
      </c>
      <c r="H16" s="7">
        <v>2</v>
      </c>
      <c r="I16" s="2">
        <v>980</v>
      </c>
      <c r="J16" s="2">
        <v>1960</v>
      </c>
      <c r="K16" s="2">
        <v>340</v>
      </c>
      <c r="L16" s="11">
        <f t="shared" si="0"/>
        <v>0.17346938775510204</v>
      </c>
    </row>
    <row r="17" spans="1:12" ht="15.6" x14ac:dyDescent="0.3">
      <c r="A17" s="9">
        <v>1016</v>
      </c>
      <c r="B17" s="1">
        <v>45373</v>
      </c>
      <c r="C17" s="5" t="s">
        <v>11</v>
      </c>
      <c r="D17" s="5" t="s">
        <v>24</v>
      </c>
      <c r="E17" s="5" t="s">
        <v>32</v>
      </c>
      <c r="F17" s="5" t="s">
        <v>14</v>
      </c>
      <c r="G17" s="5" t="s">
        <v>15</v>
      </c>
      <c r="H17" s="7">
        <v>1</v>
      </c>
      <c r="I17" s="2">
        <v>320</v>
      </c>
      <c r="J17" s="2">
        <v>320</v>
      </c>
      <c r="K17" s="2">
        <v>60</v>
      </c>
      <c r="L17" s="11">
        <f t="shared" si="0"/>
        <v>0.1875</v>
      </c>
    </row>
    <row r="18" spans="1:12" ht="15.6" x14ac:dyDescent="0.3">
      <c r="A18" s="9">
        <v>1017</v>
      </c>
      <c r="B18" s="1">
        <v>45376</v>
      </c>
      <c r="C18" s="5" t="s">
        <v>16</v>
      </c>
      <c r="D18" s="5" t="s">
        <v>39</v>
      </c>
      <c r="E18" s="5" t="s">
        <v>25</v>
      </c>
      <c r="F18" s="5" t="s">
        <v>26</v>
      </c>
      <c r="G18" s="5" t="s">
        <v>19</v>
      </c>
      <c r="H18" s="7">
        <v>5</v>
      </c>
      <c r="I18" s="2">
        <v>140</v>
      </c>
      <c r="J18" s="2">
        <v>700</v>
      </c>
      <c r="K18" s="2">
        <v>130</v>
      </c>
      <c r="L18" s="11">
        <f t="shared" si="0"/>
        <v>0.18571428571428572</v>
      </c>
    </row>
    <row r="19" spans="1:12" ht="15.6" x14ac:dyDescent="0.3">
      <c r="A19" s="9">
        <v>1018</v>
      </c>
      <c r="B19" s="1">
        <v>45384</v>
      </c>
      <c r="C19" s="5" t="s">
        <v>20</v>
      </c>
      <c r="D19" s="5" t="s">
        <v>21</v>
      </c>
      <c r="E19" s="5" t="s">
        <v>18</v>
      </c>
      <c r="F19" s="5" t="s">
        <v>14</v>
      </c>
      <c r="G19" s="5" t="s">
        <v>23</v>
      </c>
      <c r="H19" s="7">
        <v>7</v>
      </c>
      <c r="I19" s="2">
        <v>590</v>
      </c>
      <c r="J19" s="2">
        <v>4130</v>
      </c>
      <c r="K19" s="2">
        <v>700</v>
      </c>
      <c r="L19" s="11">
        <f t="shared" si="0"/>
        <v>0.16949152542372881</v>
      </c>
    </row>
    <row r="20" spans="1:12" ht="15.6" x14ac:dyDescent="0.3">
      <c r="A20" s="9">
        <v>1019</v>
      </c>
      <c r="B20" s="1">
        <v>45387</v>
      </c>
      <c r="C20" s="5" t="s">
        <v>11</v>
      </c>
      <c r="D20" s="5" t="s">
        <v>12</v>
      </c>
      <c r="E20" s="5" t="s">
        <v>22</v>
      </c>
      <c r="F20" s="5" t="s">
        <v>14</v>
      </c>
      <c r="G20" s="5" t="s">
        <v>15</v>
      </c>
      <c r="H20" s="7">
        <v>6</v>
      </c>
      <c r="I20" s="2">
        <v>410</v>
      </c>
      <c r="J20" s="2">
        <v>2460</v>
      </c>
      <c r="K20" s="2">
        <v>390</v>
      </c>
      <c r="L20" s="11">
        <f t="shared" si="0"/>
        <v>0.15853658536585366</v>
      </c>
    </row>
    <row r="21" spans="1:12" ht="15.6" x14ac:dyDescent="0.3">
      <c r="A21" s="9">
        <v>1020</v>
      </c>
      <c r="B21" s="1">
        <v>45392</v>
      </c>
      <c r="C21" s="5" t="s">
        <v>16</v>
      </c>
      <c r="D21" s="5" t="s">
        <v>17</v>
      </c>
      <c r="E21" s="5" t="s">
        <v>33</v>
      </c>
      <c r="F21" s="5" t="s">
        <v>26</v>
      </c>
      <c r="G21" s="5" t="s">
        <v>19</v>
      </c>
      <c r="H21" s="7">
        <v>3</v>
      </c>
      <c r="I21" s="2">
        <v>210</v>
      </c>
      <c r="J21" s="2">
        <v>630</v>
      </c>
      <c r="K21" s="2">
        <v>140</v>
      </c>
      <c r="L21" s="11">
        <f t="shared" si="0"/>
        <v>0.22222222222222221</v>
      </c>
    </row>
    <row r="22" spans="1:12" ht="15.6" x14ac:dyDescent="0.3">
      <c r="A22" s="9">
        <v>1021</v>
      </c>
      <c r="B22" s="1">
        <v>45396</v>
      </c>
      <c r="C22" s="5" t="s">
        <v>20</v>
      </c>
      <c r="D22" s="5" t="s">
        <v>29</v>
      </c>
      <c r="E22" s="5" t="s">
        <v>30</v>
      </c>
      <c r="F22" s="5" t="s">
        <v>14</v>
      </c>
      <c r="G22" s="5" t="s">
        <v>15</v>
      </c>
      <c r="H22" s="7">
        <v>2</v>
      </c>
      <c r="I22" s="2">
        <v>270</v>
      </c>
      <c r="J22" s="2">
        <v>540</v>
      </c>
      <c r="K22" s="2">
        <v>110</v>
      </c>
      <c r="L22" s="11">
        <f t="shared" si="0"/>
        <v>0.20370370370370369</v>
      </c>
    </row>
    <row r="23" spans="1:12" ht="15.6" x14ac:dyDescent="0.3">
      <c r="A23" s="9">
        <v>1022</v>
      </c>
      <c r="B23" s="1">
        <v>45400</v>
      </c>
      <c r="C23" s="5" t="s">
        <v>11</v>
      </c>
      <c r="D23" s="5" t="s">
        <v>34</v>
      </c>
      <c r="E23" s="5" t="s">
        <v>13</v>
      </c>
      <c r="F23" s="5" t="s">
        <v>14</v>
      </c>
      <c r="G23" s="5" t="s">
        <v>15</v>
      </c>
      <c r="H23" s="7">
        <v>1</v>
      </c>
      <c r="I23" s="2">
        <v>920</v>
      </c>
      <c r="J23" s="2">
        <v>920</v>
      </c>
      <c r="K23" s="2">
        <v>170</v>
      </c>
      <c r="L23" s="11">
        <f t="shared" si="0"/>
        <v>0.18478260869565216</v>
      </c>
    </row>
    <row r="24" spans="1:12" ht="15.6" x14ac:dyDescent="0.3">
      <c r="A24" s="9">
        <v>1023</v>
      </c>
      <c r="B24" s="1">
        <v>45404</v>
      </c>
      <c r="C24" s="5" t="s">
        <v>16</v>
      </c>
      <c r="D24" s="5" t="s">
        <v>27</v>
      </c>
      <c r="E24" s="5" t="s">
        <v>32</v>
      </c>
      <c r="F24" s="5" t="s">
        <v>14</v>
      </c>
      <c r="G24" s="5" t="s">
        <v>19</v>
      </c>
      <c r="H24" s="7">
        <v>3</v>
      </c>
      <c r="I24" s="2">
        <v>310</v>
      </c>
      <c r="J24" s="2">
        <v>930</v>
      </c>
      <c r="K24" s="2">
        <v>160</v>
      </c>
      <c r="L24" s="11">
        <f t="shared" si="0"/>
        <v>0.17204301075268819</v>
      </c>
    </row>
    <row r="25" spans="1:12" ht="15.6" x14ac:dyDescent="0.3">
      <c r="A25" s="9">
        <v>1024</v>
      </c>
      <c r="B25" s="1">
        <v>45410</v>
      </c>
      <c r="C25" s="5" t="s">
        <v>20</v>
      </c>
      <c r="D25" s="5" t="s">
        <v>36</v>
      </c>
      <c r="E25" s="5" t="s">
        <v>28</v>
      </c>
      <c r="F25" s="5" t="s">
        <v>26</v>
      </c>
      <c r="G25" s="5" t="s">
        <v>23</v>
      </c>
      <c r="H25" s="7">
        <v>4</v>
      </c>
      <c r="I25" s="2">
        <v>330</v>
      </c>
      <c r="J25" s="2">
        <v>1320</v>
      </c>
      <c r="K25" s="2">
        <v>260</v>
      </c>
      <c r="L25" s="11">
        <f t="shared" si="0"/>
        <v>0.19696969696969696</v>
      </c>
    </row>
    <row r="26" spans="1:12" ht="15.6" x14ac:dyDescent="0.3">
      <c r="A26" s="9">
        <v>1025</v>
      </c>
      <c r="B26" s="1">
        <v>45415</v>
      </c>
      <c r="C26" s="5" t="s">
        <v>11</v>
      </c>
      <c r="D26" s="5" t="s">
        <v>12</v>
      </c>
      <c r="E26" s="5" t="s">
        <v>18</v>
      </c>
      <c r="F26" s="5" t="s">
        <v>14</v>
      </c>
      <c r="G26" s="5" t="s">
        <v>15</v>
      </c>
      <c r="H26" s="7">
        <v>8</v>
      </c>
      <c r="I26" s="2">
        <v>610</v>
      </c>
      <c r="J26" s="2">
        <v>4880</v>
      </c>
      <c r="K26" s="2">
        <v>820</v>
      </c>
      <c r="L26" s="11">
        <f t="shared" si="0"/>
        <v>0.16803278688524589</v>
      </c>
    </row>
    <row r="27" spans="1:12" ht="15.6" x14ac:dyDescent="0.3">
      <c r="A27" s="9">
        <v>1026</v>
      </c>
      <c r="B27" s="1">
        <v>45419</v>
      </c>
      <c r="C27" s="5" t="s">
        <v>16</v>
      </c>
      <c r="D27" s="5" t="s">
        <v>40</v>
      </c>
      <c r="E27" s="5" t="s">
        <v>13</v>
      </c>
      <c r="F27" s="5" t="s">
        <v>14</v>
      </c>
      <c r="G27" s="5" t="s">
        <v>19</v>
      </c>
      <c r="H27" s="7">
        <v>1</v>
      </c>
      <c r="I27" s="2">
        <v>910</v>
      </c>
      <c r="J27" s="2">
        <v>910</v>
      </c>
      <c r="K27" s="2">
        <v>160</v>
      </c>
      <c r="L27" s="11">
        <f t="shared" si="0"/>
        <v>0.17582417582417584</v>
      </c>
    </row>
    <row r="28" spans="1:12" ht="15.6" x14ac:dyDescent="0.3">
      <c r="A28" s="9">
        <v>1027</v>
      </c>
      <c r="B28" s="1">
        <v>45422</v>
      </c>
      <c r="C28" s="5" t="s">
        <v>20</v>
      </c>
      <c r="D28" s="5" t="s">
        <v>21</v>
      </c>
      <c r="E28" s="5" t="s">
        <v>25</v>
      </c>
      <c r="F28" s="5" t="s">
        <v>26</v>
      </c>
      <c r="G28" s="5" t="s">
        <v>23</v>
      </c>
      <c r="H28" s="7">
        <v>6</v>
      </c>
      <c r="I28" s="2">
        <v>145</v>
      </c>
      <c r="J28" s="2">
        <v>870</v>
      </c>
      <c r="K28" s="2">
        <v>180</v>
      </c>
      <c r="L28" s="11">
        <f t="shared" si="0"/>
        <v>0.20689655172413793</v>
      </c>
    </row>
    <row r="29" spans="1:12" ht="15.6" x14ac:dyDescent="0.3">
      <c r="A29" s="9">
        <v>1028</v>
      </c>
      <c r="B29" s="1">
        <v>45426</v>
      </c>
      <c r="C29" s="5" t="s">
        <v>11</v>
      </c>
      <c r="D29" s="5" t="s">
        <v>24</v>
      </c>
      <c r="E29" s="5" t="s">
        <v>30</v>
      </c>
      <c r="F29" s="5" t="s">
        <v>14</v>
      </c>
      <c r="G29" s="5" t="s">
        <v>15</v>
      </c>
      <c r="H29" s="7">
        <v>5</v>
      </c>
      <c r="I29" s="2">
        <v>260</v>
      </c>
      <c r="J29" s="2">
        <v>1300</v>
      </c>
      <c r="K29" s="2">
        <v>240</v>
      </c>
      <c r="L29" s="11">
        <f t="shared" si="0"/>
        <v>0.18461538461538463</v>
      </c>
    </row>
    <row r="30" spans="1:12" ht="15.6" x14ac:dyDescent="0.3">
      <c r="A30" s="9">
        <v>1029</v>
      </c>
      <c r="B30" s="1">
        <v>45430</v>
      </c>
      <c r="C30" s="5" t="s">
        <v>16</v>
      </c>
      <c r="D30" s="5" t="s">
        <v>35</v>
      </c>
      <c r="E30" s="5" t="s">
        <v>22</v>
      </c>
      <c r="F30" s="5" t="s">
        <v>14</v>
      </c>
      <c r="G30" s="5" t="s">
        <v>19</v>
      </c>
      <c r="H30" s="7">
        <v>4</v>
      </c>
      <c r="I30" s="2">
        <v>430</v>
      </c>
      <c r="J30" s="2">
        <v>1720</v>
      </c>
      <c r="K30" s="2">
        <v>300</v>
      </c>
      <c r="L30" s="11">
        <f t="shared" si="0"/>
        <v>0.1744186046511628</v>
      </c>
    </row>
    <row r="31" spans="1:12" ht="15.6" x14ac:dyDescent="0.3">
      <c r="A31" s="9">
        <v>1030</v>
      </c>
      <c r="B31" s="1">
        <v>45434</v>
      </c>
      <c r="C31" s="5" t="s">
        <v>20</v>
      </c>
      <c r="D31" s="5" t="s">
        <v>29</v>
      </c>
      <c r="E31" s="5" t="s">
        <v>32</v>
      </c>
      <c r="F31" s="5" t="s">
        <v>14</v>
      </c>
      <c r="G31" s="5" t="s">
        <v>23</v>
      </c>
      <c r="H31" s="7">
        <v>2</v>
      </c>
      <c r="I31" s="2">
        <v>340</v>
      </c>
      <c r="J31" s="2">
        <v>680</v>
      </c>
      <c r="K31" s="2">
        <v>130</v>
      </c>
      <c r="L31" s="11">
        <f t="shared" si="0"/>
        <v>0.19117647058823528</v>
      </c>
    </row>
    <row r="32" spans="1:12" ht="15.6" x14ac:dyDescent="0.3">
      <c r="A32" s="9">
        <v>1031</v>
      </c>
      <c r="B32" s="1">
        <v>45445</v>
      </c>
      <c r="C32" s="5" t="s">
        <v>11</v>
      </c>
      <c r="D32" s="5" t="s">
        <v>34</v>
      </c>
      <c r="E32" s="5" t="s">
        <v>28</v>
      </c>
      <c r="F32" s="5" t="s">
        <v>26</v>
      </c>
      <c r="G32" s="5" t="s">
        <v>15</v>
      </c>
      <c r="H32" s="7">
        <v>3</v>
      </c>
      <c r="I32" s="2">
        <v>370</v>
      </c>
      <c r="J32" s="2">
        <v>1110</v>
      </c>
      <c r="K32" s="2">
        <v>220</v>
      </c>
      <c r="L32" s="11">
        <f t="shared" si="0"/>
        <v>0.1981981981981982</v>
      </c>
    </row>
    <row r="33" spans="1:12" ht="15.6" x14ac:dyDescent="0.3">
      <c r="A33" s="9">
        <v>1032</v>
      </c>
      <c r="B33" s="1">
        <v>45449</v>
      </c>
      <c r="C33" s="5" t="s">
        <v>16</v>
      </c>
      <c r="D33" s="5" t="s">
        <v>17</v>
      </c>
      <c r="E33" s="5" t="s">
        <v>18</v>
      </c>
      <c r="F33" s="5" t="s">
        <v>14</v>
      </c>
      <c r="G33" s="5" t="s">
        <v>19</v>
      </c>
      <c r="H33" s="7">
        <v>6</v>
      </c>
      <c r="I33" s="2">
        <v>605</v>
      </c>
      <c r="J33" s="2">
        <v>3630</v>
      </c>
      <c r="K33" s="2">
        <v>610</v>
      </c>
      <c r="L33" s="11">
        <f t="shared" si="0"/>
        <v>0.16804407713498623</v>
      </c>
    </row>
    <row r="34" spans="1:12" ht="15.6" x14ac:dyDescent="0.3">
      <c r="A34" s="9">
        <v>1033</v>
      </c>
      <c r="B34" s="1">
        <v>45453</v>
      </c>
      <c r="C34" s="5" t="s">
        <v>20</v>
      </c>
      <c r="D34" s="5" t="s">
        <v>36</v>
      </c>
      <c r="E34" s="5" t="s">
        <v>13</v>
      </c>
      <c r="F34" s="5" t="s">
        <v>14</v>
      </c>
      <c r="G34" s="5" t="s">
        <v>23</v>
      </c>
      <c r="H34" s="7">
        <v>3</v>
      </c>
      <c r="I34" s="2">
        <v>970</v>
      </c>
      <c r="J34" s="2">
        <v>2910</v>
      </c>
      <c r="K34" s="2">
        <v>510</v>
      </c>
      <c r="L34" s="11">
        <f t="shared" si="0"/>
        <v>0.17525773195876287</v>
      </c>
    </row>
    <row r="35" spans="1:12" ht="15.6" x14ac:dyDescent="0.3">
      <c r="A35" s="9">
        <v>1034</v>
      </c>
      <c r="B35" s="1">
        <v>45457</v>
      </c>
      <c r="C35" s="5" t="s">
        <v>11</v>
      </c>
      <c r="D35" s="5" t="s">
        <v>12</v>
      </c>
      <c r="E35" s="5" t="s">
        <v>33</v>
      </c>
      <c r="F35" s="5" t="s">
        <v>26</v>
      </c>
      <c r="G35" s="5" t="s">
        <v>15</v>
      </c>
      <c r="H35" s="7">
        <v>2</v>
      </c>
      <c r="I35" s="2">
        <v>215</v>
      </c>
      <c r="J35" s="2">
        <v>430</v>
      </c>
      <c r="K35" s="2">
        <v>90</v>
      </c>
      <c r="L35" s="11">
        <f t="shared" si="0"/>
        <v>0.20930232558139536</v>
      </c>
    </row>
    <row r="36" spans="1:12" ht="15.6" x14ac:dyDescent="0.3">
      <c r="A36" s="9">
        <v>1035</v>
      </c>
      <c r="B36" s="1">
        <v>45461</v>
      </c>
      <c r="C36" s="5" t="s">
        <v>16</v>
      </c>
      <c r="D36" s="5" t="s">
        <v>27</v>
      </c>
      <c r="E36" s="5" t="s">
        <v>25</v>
      </c>
      <c r="F36" s="5" t="s">
        <v>26</v>
      </c>
      <c r="G36" s="5" t="s">
        <v>19</v>
      </c>
      <c r="H36" s="7">
        <v>4</v>
      </c>
      <c r="I36" s="2">
        <v>155</v>
      </c>
      <c r="J36" s="2">
        <v>620</v>
      </c>
      <c r="K36" s="2">
        <v>120</v>
      </c>
      <c r="L36" s="11">
        <f t="shared" si="0"/>
        <v>0.19354838709677419</v>
      </c>
    </row>
    <row r="37" spans="1:12" ht="15.6" x14ac:dyDescent="0.3">
      <c r="A37" s="9">
        <v>1036</v>
      </c>
      <c r="B37" s="1">
        <v>45465</v>
      </c>
      <c r="C37" s="5" t="s">
        <v>20</v>
      </c>
      <c r="D37" s="5" t="s">
        <v>38</v>
      </c>
      <c r="E37" s="5" t="s">
        <v>30</v>
      </c>
      <c r="F37" s="5" t="s">
        <v>14</v>
      </c>
      <c r="G37" s="5" t="s">
        <v>23</v>
      </c>
      <c r="H37" s="7">
        <v>3</v>
      </c>
      <c r="I37" s="2">
        <v>280</v>
      </c>
      <c r="J37" s="2">
        <v>840</v>
      </c>
      <c r="K37" s="2">
        <v>160</v>
      </c>
      <c r="L37" s="11">
        <f t="shared" si="0"/>
        <v>0.19047619047619047</v>
      </c>
    </row>
    <row r="38" spans="1:12" ht="15.6" x14ac:dyDescent="0.3">
      <c r="A38" s="9">
        <v>1037</v>
      </c>
      <c r="B38" s="1">
        <v>45475</v>
      </c>
      <c r="C38" s="5" t="s">
        <v>11</v>
      </c>
      <c r="D38" s="5" t="s">
        <v>12</v>
      </c>
      <c r="E38" s="5" t="s">
        <v>13</v>
      </c>
      <c r="F38" s="5" t="s">
        <v>14</v>
      </c>
      <c r="G38" s="5" t="s">
        <v>15</v>
      </c>
      <c r="H38" s="7">
        <v>2</v>
      </c>
      <c r="I38" s="2">
        <v>930</v>
      </c>
      <c r="J38" s="2">
        <v>1860</v>
      </c>
      <c r="K38" s="2">
        <v>320</v>
      </c>
      <c r="L38" s="11">
        <f t="shared" si="0"/>
        <v>0.17204301075268819</v>
      </c>
    </row>
    <row r="39" spans="1:12" ht="15.6" x14ac:dyDescent="0.3">
      <c r="A39" s="9">
        <v>1038</v>
      </c>
      <c r="B39" s="1">
        <v>45477</v>
      </c>
      <c r="C39" s="5" t="s">
        <v>16</v>
      </c>
      <c r="D39" s="5" t="s">
        <v>17</v>
      </c>
      <c r="E39" s="5" t="s">
        <v>22</v>
      </c>
      <c r="F39" s="5" t="s">
        <v>14</v>
      </c>
      <c r="G39" s="5" t="s">
        <v>19</v>
      </c>
      <c r="H39" s="7">
        <v>5</v>
      </c>
      <c r="I39" s="2">
        <v>415</v>
      </c>
      <c r="J39" s="2">
        <v>2075</v>
      </c>
      <c r="K39" s="2">
        <v>350</v>
      </c>
      <c r="L39" s="11">
        <f t="shared" si="0"/>
        <v>0.16867469879518071</v>
      </c>
    </row>
    <row r="40" spans="1:12" ht="15.6" x14ac:dyDescent="0.3">
      <c r="A40" s="9">
        <v>1039</v>
      </c>
      <c r="B40" s="1">
        <v>45479</v>
      </c>
      <c r="C40" s="5" t="s">
        <v>20</v>
      </c>
      <c r="D40" s="5" t="s">
        <v>21</v>
      </c>
      <c r="E40" s="5" t="s">
        <v>18</v>
      </c>
      <c r="F40" s="5" t="s">
        <v>14</v>
      </c>
      <c r="G40" s="5" t="s">
        <v>23</v>
      </c>
      <c r="H40" s="7">
        <v>9</v>
      </c>
      <c r="I40" s="2">
        <v>595</v>
      </c>
      <c r="J40" s="2">
        <v>5355</v>
      </c>
      <c r="K40" s="2">
        <v>900</v>
      </c>
      <c r="L40" s="11">
        <f t="shared" si="0"/>
        <v>0.16806722689075632</v>
      </c>
    </row>
    <row r="41" spans="1:12" ht="15.6" x14ac:dyDescent="0.3">
      <c r="A41" s="9">
        <v>1040</v>
      </c>
      <c r="B41" s="1">
        <v>45481</v>
      </c>
      <c r="C41" s="5" t="s">
        <v>11</v>
      </c>
      <c r="D41" s="5" t="s">
        <v>24</v>
      </c>
      <c r="E41" s="5" t="s">
        <v>25</v>
      </c>
      <c r="F41" s="5" t="s">
        <v>26</v>
      </c>
      <c r="G41" s="5" t="s">
        <v>15</v>
      </c>
      <c r="H41" s="7">
        <v>7</v>
      </c>
      <c r="I41" s="2">
        <v>150</v>
      </c>
      <c r="J41" s="2">
        <v>1050</v>
      </c>
      <c r="K41" s="2">
        <v>210</v>
      </c>
      <c r="L41" s="11">
        <f t="shared" si="0"/>
        <v>0.2</v>
      </c>
    </row>
    <row r="42" spans="1:12" ht="15.6" x14ac:dyDescent="0.3">
      <c r="A42" s="9">
        <v>1041</v>
      </c>
      <c r="B42" s="1">
        <v>45483</v>
      </c>
      <c r="C42" s="5" t="s">
        <v>16</v>
      </c>
      <c r="D42" s="5" t="s">
        <v>27</v>
      </c>
      <c r="E42" s="5" t="s">
        <v>28</v>
      </c>
      <c r="F42" s="5" t="s">
        <v>26</v>
      </c>
      <c r="G42" s="5" t="s">
        <v>19</v>
      </c>
      <c r="H42" s="7">
        <v>3</v>
      </c>
      <c r="I42" s="2">
        <v>365</v>
      </c>
      <c r="J42" s="2">
        <v>1095</v>
      </c>
      <c r="K42" s="2">
        <v>220</v>
      </c>
      <c r="L42" s="11">
        <f t="shared" si="0"/>
        <v>0.20091324200913241</v>
      </c>
    </row>
    <row r="43" spans="1:12" ht="15.6" x14ac:dyDescent="0.3">
      <c r="A43" s="9">
        <v>1042</v>
      </c>
      <c r="B43" s="1">
        <v>45485</v>
      </c>
      <c r="C43" s="5" t="s">
        <v>20</v>
      </c>
      <c r="D43" s="5" t="s">
        <v>29</v>
      </c>
      <c r="E43" s="5" t="s">
        <v>30</v>
      </c>
      <c r="F43" s="5" t="s">
        <v>14</v>
      </c>
      <c r="G43" s="5" t="s">
        <v>23</v>
      </c>
      <c r="H43" s="7">
        <v>4</v>
      </c>
      <c r="I43" s="2">
        <v>275</v>
      </c>
      <c r="J43" s="2">
        <v>1100</v>
      </c>
      <c r="K43" s="2">
        <v>200</v>
      </c>
      <c r="L43" s="11">
        <f t="shared" si="0"/>
        <v>0.18181818181818182</v>
      </c>
    </row>
    <row r="44" spans="1:12" ht="15.6" x14ac:dyDescent="0.3">
      <c r="A44" s="9">
        <v>1043</v>
      </c>
      <c r="B44" s="1">
        <v>45487</v>
      </c>
      <c r="C44" s="5" t="s">
        <v>11</v>
      </c>
      <c r="D44" s="5" t="s">
        <v>12</v>
      </c>
      <c r="E44" s="5" t="s">
        <v>32</v>
      </c>
      <c r="F44" s="5" t="s">
        <v>14</v>
      </c>
      <c r="G44" s="5" t="s">
        <v>15</v>
      </c>
      <c r="H44" s="7">
        <v>2</v>
      </c>
      <c r="I44" s="2">
        <v>330</v>
      </c>
      <c r="J44" s="2">
        <v>660</v>
      </c>
      <c r="K44" s="2">
        <v>120</v>
      </c>
      <c r="L44" s="11">
        <f t="shared" si="0"/>
        <v>0.18181818181818182</v>
      </c>
    </row>
    <row r="45" spans="1:12" ht="15.6" x14ac:dyDescent="0.3">
      <c r="A45" s="9">
        <v>1044</v>
      </c>
      <c r="B45" s="1">
        <v>45489</v>
      </c>
      <c r="C45" s="5" t="s">
        <v>16</v>
      </c>
      <c r="D45" s="5" t="s">
        <v>31</v>
      </c>
      <c r="E45" s="5" t="s">
        <v>33</v>
      </c>
      <c r="F45" s="5" t="s">
        <v>26</v>
      </c>
      <c r="G45" s="5" t="s">
        <v>19</v>
      </c>
      <c r="H45" s="7">
        <v>2</v>
      </c>
      <c r="I45" s="2">
        <v>225</v>
      </c>
      <c r="J45" s="2">
        <v>450</v>
      </c>
      <c r="K45" s="2">
        <v>95</v>
      </c>
      <c r="L45" s="11">
        <f t="shared" si="0"/>
        <v>0.21111111111111111</v>
      </c>
    </row>
    <row r="46" spans="1:12" ht="15.6" x14ac:dyDescent="0.3">
      <c r="A46" s="9">
        <v>1045</v>
      </c>
      <c r="B46" s="1">
        <v>45491</v>
      </c>
      <c r="C46" s="5" t="s">
        <v>20</v>
      </c>
      <c r="D46" s="5" t="s">
        <v>36</v>
      </c>
      <c r="E46" s="5" t="s">
        <v>13</v>
      </c>
      <c r="F46" s="5" t="s">
        <v>14</v>
      </c>
      <c r="G46" s="5" t="s">
        <v>23</v>
      </c>
      <c r="H46" s="7">
        <v>4</v>
      </c>
      <c r="I46" s="2">
        <v>960</v>
      </c>
      <c r="J46" s="2">
        <v>3840</v>
      </c>
      <c r="K46" s="2">
        <v>680</v>
      </c>
      <c r="L46" s="11">
        <f t="shared" si="0"/>
        <v>0.17708333333333334</v>
      </c>
    </row>
    <row r="47" spans="1:12" ht="15.6" x14ac:dyDescent="0.3">
      <c r="A47" s="9">
        <v>1046</v>
      </c>
      <c r="B47" s="1">
        <v>45493</v>
      </c>
      <c r="C47" s="5" t="s">
        <v>11</v>
      </c>
      <c r="D47" s="5" t="s">
        <v>34</v>
      </c>
      <c r="E47" s="5" t="s">
        <v>22</v>
      </c>
      <c r="F47" s="5" t="s">
        <v>14</v>
      </c>
      <c r="G47" s="5" t="s">
        <v>15</v>
      </c>
      <c r="H47" s="7">
        <v>5</v>
      </c>
      <c r="I47" s="2">
        <v>425</v>
      </c>
      <c r="J47" s="2">
        <v>2125</v>
      </c>
      <c r="K47" s="2">
        <v>360</v>
      </c>
      <c r="L47" s="11">
        <f t="shared" si="0"/>
        <v>0.16941176470588235</v>
      </c>
    </row>
    <row r="48" spans="1:12" ht="15.6" x14ac:dyDescent="0.3">
      <c r="A48" s="9">
        <v>1047</v>
      </c>
      <c r="B48" s="1">
        <v>45495</v>
      </c>
      <c r="C48" s="5" t="s">
        <v>16</v>
      </c>
      <c r="D48" s="5" t="s">
        <v>35</v>
      </c>
      <c r="E48" s="5" t="s">
        <v>18</v>
      </c>
      <c r="F48" s="5" t="s">
        <v>14</v>
      </c>
      <c r="G48" s="5" t="s">
        <v>19</v>
      </c>
      <c r="H48" s="7">
        <v>7</v>
      </c>
      <c r="I48" s="2">
        <v>600</v>
      </c>
      <c r="J48" s="2">
        <v>4200</v>
      </c>
      <c r="K48" s="2">
        <v>720</v>
      </c>
      <c r="L48" s="11">
        <f t="shared" si="0"/>
        <v>0.17142857142857143</v>
      </c>
    </row>
    <row r="49" spans="1:12" ht="15.6" x14ac:dyDescent="0.3">
      <c r="A49" s="9">
        <v>1048</v>
      </c>
      <c r="B49" s="1">
        <v>45497</v>
      </c>
      <c r="C49" s="5" t="s">
        <v>20</v>
      </c>
      <c r="D49" s="5" t="s">
        <v>38</v>
      </c>
      <c r="E49" s="5" t="s">
        <v>28</v>
      </c>
      <c r="F49" s="5" t="s">
        <v>26</v>
      </c>
      <c r="G49" s="5" t="s">
        <v>23</v>
      </c>
      <c r="H49" s="7">
        <v>2</v>
      </c>
      <c r="I49" s="2">
        <v>340</v>
      </c>
      <c r="J49" s="2">
        <v>680</v>
      </c>
      <c r="K49" s="2">
        <v>130</v>
      </c>
      <c r="L49" s="11">
        <f t="shared" si="0"/>
        <v>0.19117647058823528</v>
      </c>
    </row>
    <row r="50" spans="1:12" ht="15.6" x14ac:dyDescent="0.3">
      <c r="A50" s="9">
        <v>1049</v>
      </c>
      <c r="B50" s="1">
        <v>45499</v>
      </c>
      <c r="C50" s="5" t="s">
        <v>11</v>
      </c>
      <c r="D50" s="5" t="s">
        <v>24</v>
      </c>
      <c r="E50" s="5" t="s">
        <v>30</v>
      </c>
      <c r="F50" s="5" t="s">
        <v>14</v>
      </c>
      <c r="G50" s="5" t="s">
        <v>15</v>
      </c>
      <c r="H50" s="7">
        <v>6</v>
      </c>
      <c r="I50" s="2">
        <v>255</v>
      </c>
      <c r="J50" s="2">
        <v>1530</v>
      </c>
      <c r="K50" s="2">
        <v>280</v>
      </c>
      <c r="L50" s="11">
        <f t="shared" si="0"/>
        <v>0.18300653594771241</v>
      </c>
    </row>
    <row r="51" spans="1:12" ht="15.6" x14ac:dyDescent="0.3">
      <c r="A51" s="9">
        <v>1050</v>
      </c>
      <c r="B51" s="1">
        <v>45501</v>
      </c>
      <c r="C51" s="5" t="s">
        <v>16</v>
      </c>
      <c r="D51" s="5" t="s">
        <v>37</v>
      </c>
      <c r="E51" s="5" t="s">
        <v>32</v>
      </c>
      <c r="F51" s="5" t="s">
        <v>14</v>
      </c>
      <c r="G51" s="5" t="s">
        <v>19</v>
      </c>
      <c r="H51" s="7">
        <v>3</v>
      </c>
      <c r="I51" s="2">
        <v>315</v>
      </c>
      <c r="J51" s="2">
        <v>945</v>
      </c>
      <c r="K51" s="2">
        <v>170</v>
      </c>
      <c r="L51" s="11">
        <f t="shared" si="0"/>
        <v>0.17989417989417988</v>
      </c>
    </row>
    <row r="52" spans="1:12" ht="15.6" x14ac:dyDescent="0.3">
      <c r="A52" s="9">
        <v>1051</v>
      </c>
      <c r="B52" s="1">
        <v>45503</v>
      </c>
      <c r="C52" s="5" t="s">
        <v>20</v>
      </c>
      <c r="D52" s="5" t="s">
        <v>21</v>
      </c>
      <c r="E52" s="5" t="s">
        <v>25</v>
      </c>
      <c r="F52" s="5" t="s">
        <v>26</v>
      </c>
      <c r="G52" s="5" t="s">
        <v>23</v>
      </c>
      <c r="H52" s="7">
        <v>8</v>
      </c>
      <c r="I52" s="2">
        <v>148</v>
      </c>
      <c r="J52" s="2">
        <v>1184</v>
      </c>
      <c r="K52" s="2">
        <v>240</v>
      </c>
      <c r="L52" s="11">
        <f t="shared" si="0"/>
        <v>0.20270270270270271</v>
      </c>
    </row>
    <row r="53" spans="1:12" ht="15.6" x14ac:dyDescent="0.3">
      <c r="A53" s="9">
        <v>1052</v>
      </c>
      <c r="B53" s="1">
        <v>45506</v>
      </c>
      <c r="C53" s="5" t="s">
        <v>11</v>
      </c>
      <c r="D53" s="5" t="s">
        <v>12</v>
      </c>
      <c r="E53" s="5" t="s">
        <v>18</v>
      </c>
      <c r="F53" s="5" t="s">
        <v>14</v>
      </c>
      <c r="G53" s="5" t="s">
        <v>15</v>
      </c>
      <c r="H53" s="7">
        <v>10</v>
      </c>
      <c r="I53" s="2">
        <v>620</v>
      </c>
      <c r="J53" s="2">
        <v>6200</v>
      </c>
      <c r="K53" s="2">
        <v>1050</v>
      </c>
      <c r="L53" s="11">
        <f t="shared" si="0"/>
        <v>0.16935483870967741</v>
      </c>
    </row>
    <row r="54" spans="1:12" ht="15.6" x14ac:dyDescent="0.3">
      <c r="A54" s="9">
        <v>1053</v>
      </c>
      <c r="B54" s="1">
        <v>45508</v>
      </c>
      <c r="C54" s="5" t="s">
        <v>16</v>
      </c>
      <c r="D54" s="5" t="s">
        <v>39</v>
      </c>
      <c r="E54" s="5" t="s">
        <v>13</v>
      </c>
      <c r="F54" s="5" t="s">
        <v>14</v>
      </c>
      <c r="G54" s="5" t="s">
        <v>19</v>
      </c>
      <c r="H54" s="7">
        <v>2</v>
      </c>
      <c r="I54" s="2">
        <v>905</v>
      </c>
      <c r="J54" s="2">
        <v>1810</v>
      </c>
      <c r="K54" s="2">
        <v>310</v>
      </c>
      <c r="L54" s="11">
        <f t="shared" si="0"/>
        <v>0.17127071823204421</v>
      </c>
    </row>
    <row r="55" spans="1:12" ht="15.6" x14ac:dyDescent="0.3">
      <c r="A55" s="9">
        <v>1054</v>
      </c>
      <c r="B55" s="1">
        <v>45510</v>
      </c>
      <c r="C55" s="5" t="s">
        <v>20</v>
      </c>
      <c r="D55" s="5" t="s">
        <v>29</v>
      </c>
      <c r="E55" s="5" t="s">
        <v>22</v>
      </c>
      <c r="F55" s="5" t="s">
        <v>14</v>
      </c>
      <c r="G55" s="5" t="s">
        <v>23</v>
      </c>
      <c r="H55" s="7">
        <v>4</v>
      </c>
      <c r="I55" s="2">
        <v>435</v>
      </c>
      <c r="J55" s="2">
        <v>1740</v>
      </c>
      <c r="K55" s="2">
        <v>300</v>
      </c>
      <c r="L55" s="11">
        <f t="shared" si="0"/>
        <v>0.17241379310344829</v>
      </c>
    </row>
    <row r="56" spans="1:12" ht="15.6" x14ac:dyDescent="0.3">
      <c r="A56" s="9">
        <v>1055</v>
      </c>
      <c r="B56" s="1">
        <v>45512</v>
      </c>
      <c r="C56" s="5" t="s">
        <v>11</v>
      </c>
      <c r="D56" s="5" t="s">
        <v>34</v>
      </c>
      <c r="E56" s="5" t="s">
        <v>28</v>
      </c>
      <c r="F56" s="5" t="s">
        <v>26</v>
      </c>
      <c r="G56" s="5" t="s">
        <v>15</v>
      </c>
      <c r="H56" s="7">
        <v>4</v>
      </c>
      <c r="I56" s="2">
        <v>375</v>
      </c>
      <c r="J56" s="2">
        <v>1500</v>
      </c>
      <c r="K56" s="2">
        <v>290</v>
      </c>
      <c r="L56" s="11">
        <f t="shared" si="0"/>
        <v>0.19333333333333333</v>
      </c>
    </row>
    <row r="57" spans="1:12" ht="15.6" x14ac:dyDescent="0.3">
      <c r="A57" s="9">
        <v>1056</v>
      </c>
      <c r="B57" s="1">
        <v>45514</v>
      </c>
      <c r="C57" s="5" t="s">
        <v>16</v>
      </c>
      <c r="D57" s="5" t="s">
        <v>17</v>
      </c>
      <c r="E57" s="5" t="s">
        <v>30</v>
      </c>
      <c r="F57" s="5" t="s">
        <v>14</v>
      </c>
      <c r="G57" s="5" t="s">
        <v>19</v>
      </c>
      <c r="H57" s="7">
        <v>5</v>
      </c>
      <c r="I57" s="2">
        <v>265</v>
      </c>
      <c r="J57" s="2">
        <v>1325</v>
      </c>
      <c r="K57" s="2">
        <v>240</v>
      </c>
      <c r="L57" s="11">
        <f t="shared" si="0"/>
        <v>0.1811320754716981</v>
      </c>
    </row>
    <row r="58" spans="1:12" ht="15.6" x14ac:dyDescent="0.3">
      <c r="A58" s="9">
        <v>1057</v>
      </c>
      <c r="B58" s="1">
        <v>45516</v>
      </c>
      <c r="C58" s="5" t="s">
        <v>20</v>
      </c>
      <c r="D58" s="5" t="s">
        <v>36</v>
      </c>
      <c r="E58" s="5" t="s">
        <v>18</v>
      </c>
      <c r="F58" s="5" t="s">
        <v>14</v>
      </c>
      <c r="G58" s="5" t="s">
        <v>23</v>
      </c>
      <c r="H58" s="7">
        <v>11</v>
      </c>
      <c r="I58" s="2">
        <v>590</v>
      </c>
      <c r="J58" s="2">
        <v>6490</v>
      </c>
      <c r="K58" s="2">
        <v>1100</v>
      </c>
      <c r="L58" s="11">
        <f t="shared" si="0"/>
        <v>0.16949152542372881</v>
      </c>
    </row>
    <row r="59" spans="1:12" ht="15.6" x14ac:dyDescent="0.3">
      <c r="A59" s="9">
        <v>1058</v>
      </c>
      <c r="B59" s="1">
        <v>45518</v>
      </c>
      <c r="C59" s="5" t="s">
        <v>11</v>
      </c>
      <c r="D59" s="5" t="s">
        <v>24</v>
      </c>
      <c r="E59" s="5" t="s">
        <v>32</v>
      </c>
      <c r="F59" s="5" t="s">
        <v>14</v>
      </c>
      <c r="G59" s="5" t="s">
        <v>15</v>
      </c>
      <c r="H59" s="7">
        <v>3</v>
      </c>
      <c r="I59" s="2">
        <v>325</v>
      </c>
      <c r="J59" s="2">
        <v>975</v>
      </c>
      <c r="K59" s="2">
        <v>180</v>
      </c>
      <c r="L59" s="11">
        <f t="shared" si="0"/>
        <v>0.18461538461538463</v>
      </c>
    </row>
    <row r="60" spans="1:12" ht="15.6" x14ac:dyDescent="0.3">
      <c r="A60" s="9">
        <v>1059</v>
      </c>
      <c r="B60" s="1">
        <v>45520</v>
      </c>
      <c r="C60" s="5" t="s">
        <v>16</v>
      </c>
      <c r="D60" s="5" t="s">
        <v>27</v>
      </c>
      <c r="E60" s="5" t="s">
        <v>33</v>
      </c>
      <c r="F60" s="5" t="s">
        <v>26</v>
      </c>
      <c r="G60" s="5" t="s">
        <v>19</v>
      </c>
      <c r="H60" s="7">
        <v>4</v>
      </c>
      <c r="I60" s="2">
        <v>230</v>
      </c>
      <c r="J60" s="2">
        <v>920</v>
      </c>
      <c r="K60" s="2">
        <v>190</v>
      </c>
      <c r="L60" s="11">
        <f t="shared" si="0"/>
        <v>0.20652173913043478</v>
      </c>
    </row>
    <row r="61" spans="1:12" ht="15.6" x14ac:dyDescent="0.3">
      <c r="A61" s="9">
        <v>1060</v>
      </c>
      <c r="B61" s="1">
        <v>45522</v>
      </c>
      <c r="C61" s="5" t="s">
        <v>20</v>
      </c>
      <c r="D61" s="5" t="s">
        <v>21</v>
      </c>
      <c r="E61" s="5" t="s">
        <v>13</v>
      </c>
      <c r="F61" s="5" t="s">
        <v>14</v>
      </c>
      <c r="G61" s="5" t="s">
        <v>23</v>
      </c>
      <c r="H61" s="7">
        <v>3</v>
      </c>
      <c r="I61" s="2">
        <v>950</v>
      </c>
      <c r="J61" s="2">
        <v>2850</v>
      </c>
      <c r="K61" s="2">
        <v>500</v>
      </c>
      <c r="L61" s="11">
        <f t="shared" si="0"/>
        <v>0.17543859649122806</v>
      </c>
    </row>
    <row r="62" spans="1:12" ht="15.6" x14ac:dyDescent="0.3">
      <c r="A62" s="9">
        <v>1061</v>
      </c>
      <c r="B62" s="1">
        <v>45524</v>
      </c>
      <c r="C62" s="5" t="s">
        <v>11</v>
      </c>
      <c r="D62" s="5" t="s">
        <v>12</v>
      </c>
      <c r="E62" s="5" t="s">
        <v>30</v>
      </c>
      <c r="F62" s="5" t="s">
        <v>14</v>
      </c>
      <c r="G62" s="5" t="s">
        <v>15</v>
      </c>
      <c r="H62" s="7">
        <v>4</v>
      </c>
      <c r="I62" s="2">
        <v>270</v>
      </c>
      <c r="J62" s="2">
        <v>1080</v>
      </c>
      <c r="K62" s="2">
        <v>200</v>
      </c>
      <c r="L62" s="11">
        <f t="shared" si="0"/>
        <v>0.18518518518518517</v>
      </c>
    </row>
    <row r="63" spans="1:12" ht="15.6" x14ac:dyDescent="0.3">
      <c r="A63" s="9">
        <v>1062</v>
      </c>
      <c r="B63" s="1">
        <v>45526</v>
      </c>
      <c r="C63" s="5" t="s">
        <v>16</v>
      </c>
      <c r="D63" s="5" t="s">
        <v>35</v>
      </c>
      <c r="E63" s="5" t="s">
        <v>22</v>
      </c>
      <c r="F63" s="5" t="s">
        <v>14</v>
      </c>
      <c r="G63" s="5" t="s">
        <v>19</v>
      </c>
      <c r="H63" s="7">
        <v>6</v>
      </c>
      <c r="I63" s="2">
        <v>420</v>
      </c>
      <c r="J63" s="2">
        <v>2520</v>
      </c>
      <c r="K63" s="2">
        <v>420</v>
      </c>
      <c r="L63" s="11">
        <f t="shared" si="0"/>
        <v>0.16666666666666666</v>
      </c>
    </row>
    <row r="64" spans="1:12" ht="15.6" x14ac:dyDescent="0.3">
      <c r="A64" s="9">
        <v>1063</v>
      </c>
      <c r="B64" s="1">
        <v>45528</v>
      </c>
      <c r="C64" s="5" t="s">
        <v>20</v>
      </c>
      <c r="D64" s="5" t="s">
        <v>38</v>
      </c>
      <c r="E64" s="5" t="s">
        <v>25</v>
      </c>
      <c r="F64" s="5" t="s">
        <v>26</v>
      </c>
      <c r="G64" s="5" t="s">
        <v>23</v>
      </c>
      <c r="H64" s="7">
        <v>5</v>
      </c>
      <c r="I64" s="2">
        <v>155</v>
      </c>
      <c r="J64" s="2">
        <v>775</v>
      </c>
      <c r="K64" s="2">
        <v>160</v>
      </c>
      <c r="L64" s="11">
        <f t="shared" si="0"/>
        <v>0.20645161290322581</v>
      </c>
    </row>
    <row r="65" spans="1:12" ht="15.6" x14ac:dyDescent="0.3">
      <c r="A65" s="9">
        <v>1064</v>
      </c>
      <c r="B65" s="1">
        <v>45530</v>
      </c>
      <c r="C65" s="5" t="s">
        <v>11</v>
      </c>
      <c r="D65" s="5" t="s">
        <v>34</v>
      </c>
      <c r="E65" s="5" t="s">
        <v>18</v>
      </c>
      <c r="F65" s="5" t="s">
        <v>14</v>
      </c>
      <c r="G65" s="5" t="s">
        <v>15</v>
      </c>
      <c r="H65" s="7">
        <v>7</v>
      </c>
      <c r="I65" s="2">
        <v>615</v>
      </c>
      <c r="J65" s="2">
        <v>4305</v>
      </c>
      <c r="K65" s="2">
        <v>740</v>
      </c>
      <c r="L65" s="11">
        <f t="shared" si="0"/>
        <v>0.1718931475029036</v>
      </c>
    </row>
    <row r="66" spans="1:12" ht="15.6" x14ac:dyDescent="0.3">
      <c r="A66" s="9">
        <v>1065</v>
      </c>
      <c r="B66" s="1">
        <v>45532</v>
      </c>
      <c r="C66" s="5" t="s">
        <v>16</v>
      </c>
      <c r="D66" s="5" t="s">
        <v>37</v>
      </c>
      <c r="E66" s="5" t="s">
        <v>13</v>
      </c>
      <c r="F66" s="5" t="s">
        <v>14</v>
      </c>
      <c r="G66" s="5" t="s">
        <v>19</v>
      </c>
      <c r="H66" s="7">
        <v>1</v>
      </c>
      <c r="I66" s="2">
        <v>920</v>
      </c>
      <c r="J66" s="2">
        <v>920</v>
      </c>
      <c r="K66" s="2">
        <v>170</v>
      </c>
      <c r="L66" s="11">
        <f t="shared" si="0"/>
        <v>0.18478260869565216</v>
      </c>
    </row>
    <row r="67" spans="1:12" ht="15.6" x14ac:dyDescent="0.3">
      <c r="A67" s="9">
        <v>1066</v>
      </c>
      <c r="B67" s="1">
        <v>45534</v>
      </c>
      <c r="C67" s="5" t="s">
        <v>20</v>
      </c>
      <c r="D67" s="5" t="s">
        <v>29</v>
      </c>
      <c r="E67" s="5" t="s">
        <v>32</v>
      </c>
      <c r="F67" s="5" t="s">
        <v>14</v>
      </c>
      <c r="G67" s="5" t="s">
        <v>23</v>
      </c>
      <c r="H67" s="7">
        <v>3</v>
      </c>
      <c r="I67" s="2">
        <v>345</v>
      </c>
      <c r="J67" s="2">
        <v>1035</v>
      </c>
      <c r="K67" s="2">
        <v>190</v>
      </c>
      <c r="L67" s="11">
        <f t="shared" ref="L67:L79" si="1">K67/J67</f>
        <v>0.18357487922705315</v>
      </c>
    </row>
    <row r="68" spans="1:12" ht="15.6" x14ac:dyDescent="0.3">
      <c r="A68" s="9">
        <v>1067</v>
      </c>
      <c r="B68" s="1">
        <v>45537</v>
      </c>
      <c r="C68" s="5" t="s">
        <v>11</v>
      </c>
      <c r="D68" s="5" t="s">
        <v>12</v>
      </c>
      <c r="E68" s="5" t="s">
        <v>28</v>
      </c>
      <c r="F68" s="5" t="s">
        <v>26</v>
      </c>
      <c r="G68" s="5" t="s">
        <v>15</v>
      </c>
      <c r="H68" s="7">
        <v>5</v>
      </c>
      <c r="I68" s="2">
        <v>380</v>
      </c>
      <c r="J68" s="2">
        <v>1900</v>
      </c>
      <c r="K68" s="2">
        <v>360</v>
      </c>
      <c r="L68" s="11">
        <f t="shared" si="1"/>
        <v>0.18947368421052632</v>
      </c>
    </row>
    <row r="69" spans="1:12" ht="15.6" x14ac:dyDescent="0.3">
      <c r="A69" s="9">
        <v>1068</v>
      </c>
      <c r="B69" s="1">
        <v>45539</v>
      </c>
      <c r="C69" s="5" t="s">
        <v>16</v>
      </c>
      <c r="D69" s="5" t="s">
        <v>17</v>
      </c>
      <c r="E69" s="5" t="s">
        <v>25</v>
      </c>
      <c r="F69" s="5" t="s">
        <v>26</v>
      </c>
      <c r="G69" s="5" t="s">
        <v>19</v>
      </c>
      <c r="H69" s="7">
        <v>6</v>
      </c>
      <c r="I69" s="2">
        <v>160</v>
      </c>
      <c r="J69" s="2">
        <v>960</v>
      </c>
      <c r="K69" s="2">
        <v>190</v>
      </c>
      <c r="L69" s="11">
        <f t="shared" si="1"/>
        <v>0.19791666666666666</v>
      </c>
    </row>
    <row r="70" spans="1:12" ht="15.6" x14ac:dyDescent="0.3">
      <c r="A70" s="9">
        <v>1069</v>
      </c>
      <c r="B70" s="1">
        <v>45541</v>
      </c>
      <c r="C70" s="5" t="s">
        <v>20</v>
      </c>
      <c r="D70" s="5" t="s">
        <v>36</v>
      </c>
      <c r="E70" s="5" t="s">
        <v>30</v>
      </c>
      <c r="F70" s="5" t="s">
        <v>14</v>
      </c>
      <c r="G70" s="5" t="s">
        <v>23</v>
      </c>
      <c r="H70" s="7">
        <v>5</v>
      </c>
      <c r="I70" s="2">
        <v>285</v>
      </c>
      <c r="J70" s="2">
        <v>1425</v>
      </c>
      <c r="K70" s="2">
        <v>260</v>
      </c>
      <c r="L70" s="11">
        <f t="shared" si="1"/>
        <v>0.18245614035087721</v>
      </c>
    </row>
    <row r="71" spans="1:12" ht="15.6" x14ac:dyDescent="0.3">
      <c r="A71" s="9">
        <v>1070</v>
      </c>
      <c r="B71" s="1">
        <v>45543</v>
      </c>
      <c r="C71" s="5" t="s">
        <v>11</v>
      </c>
      <c r="D71" s="5" t="s">
        <v>24</v>
      </c>
      <c r="E71" s="5" t="s">
        <v>22</v>
      </c>
      <c r="F71" s="5" t="s">
        <v>14</v>
      </c>
      <c r="G71" s="5" t="s">
        <v>15</v>
      </c>
      <c r="H71" s="7">
        <v>4</v>
      </c>
      <c r="I71" s="2">
        <v>440</v>
      </c>
      <c r="J71" s="2">
        <v>1760</v>
      </c>
      <c r="K71" s="2">
        <v>310</v>
      </c>
      <c r="L71" s="11">
        <f t="shared" si="1"/>
        <v>0.17613636363636365</v>
      </c>
    </row>
    <row r="72" spans="1:12" ht="15.6" x14ac:dyDescent="0.3">
      <c r="A72" s="9">
        <v>1071</v>
      </c>
      <c r="B72" s="1">
        <v>45545</v>
      </c>
      <c r="C72" s="5" t="s">
        <v>16</v>
      </c>
      <c r="D72" s="5" t="s">
        <v>31</v>
      </c>
      <c r="E72" s="5" t="s">
        <v>18</v>
      </c>
      <c r="F72" s="5" t="s">
        <v>14</v>
      </c>
      <c r="G72" s="5" t="s">
        <v>19</v>
      </c>
      <c r="H72" s="7">
        <v>8</v>
      </c>
      <c r="I72" s="2">
        <v>610</v>
      </c>
      <c r="J72" s="2">
        <v>4880</v>
      </c>
      <c r="K72" s="2">
        <v>830</v>
      </c>
      <c r="L72" s="11">
        <f t="shared" si="1"/>
        <v>0.17008196721311475</v>
      </c>
    </row>
    <row r="73" spans="1:12" ht="15.6" x14ac:dyDescent="0.3">
      <c r="A73" s="9">
        <v>1072</v>
      </c>
      <c r="B73" s="1">
        <v>45547</v>
      </c>
      <c r="C73" s="5" t="s">
        <v>20</v>
      </c>
      <c r="D73" s="5" t="s">
        <v>21</v>
      </c>
      <c r="E73" s="5" t="s">
        <v>28</v>
      </c>
      <c r="F73" s="5" t="s">
        <v>26</v>
      </c>
      <c r="G73" s="5" t="s">
        <v>23</v>
      </c>
      <c r="H73" s="7">
        <v>3</v>
      </c>
      <c r="I73" s="2">
        <v>355</v>
      </c>
      <c r="J73" s="2">
        <v>1065</v>
      </c>
      <c r="K73" s="2">
        <v>210</v>
      </c>
      <c r="L73" s="11">
        <f t="shared" si="1"/>
        <v>0.19718309859154928</v>
      </c>
    </row>
    <row r="74" spans="1:12" ht="15.6" x14ac:dyDescent="0.3">
      <c r="A74" s="9">
        <v>1073</v>
      </c>
      <c r="B74" s="1">
        <v>45549</v>
      </c>
      <c r="C74" s="5" t="s">
        <v>11</v>
      </c>
      <c r="D74" s="5" t="s">
        <v>34</v>
      </c>
      <c r="E74" s="5" t="s">
        <v>13</v>
      </c>
      <c r="F74" s="5" t="s">
        <v>14</v>
      </c>
      <c r="G74" s="5" t="s">
        <v>15</v>
      </c>
      <c r="H74" s="7">
        <v>2</v>
      </c>
      <c r="I74" s="2">
        <v>940</v>
      </c>
      <c r="J74" s="2">
        <v>1880</v>
      </c>
      <c r="K74" s="2">
        <v>340</v>
      </c>
      <c r="L74" s="11">
        <f t="shared" si="1"/>
        <v>0.18085106382978725</v>
      </c>
    </row>
    <row r="75" spans="1:12" ht="15.6" x14ac:dyDescent="0.3">
      <c r="A75" s="9">
        <v>1074</v>
      </c>
      <c r="B75" s="1">
        <v>45551</v>
      </c>
      <c r="C75" s="5" t="s">
        <v>16</v>
      </c>
      <c r="D75" s="5" t="s">
        <v>27</v>
      </c>
      <c r="E75" s="5" t="s">
        <v>30</v>
      </c>
      <c r="F75" s="5" t="s">
        <v>14</v>
      </c>
      <c r="G75" s="5" t="s">
        <v>19</v>
      </c>
      <c r="H75" s="7">
        <v>4</v>
      </c>
      <c r="I75" s="2">
        <v>275</v>
      </c>
      <c r="J75" s="2">
        <v>1100</v>
      </c>
      <c r="K75" s="2">
        <v>210</v>
      </c>
      <c r="L75" s="11">
        <f t="shared" si="1"/>
        <v>0.19090909090909092</v>
      </c>
    </row>
    <row r="76" spans="1:12" ht="15.6" x14ac:dyDescent="0.3">
      <c r="A76" s="9">
        <v>1075</v>
      </c>
      <c r="B76" s="1">
        <v>45553</v>
      </c>
      <c r="C76" s="5" t="s">
        <v>20</v>
      </c>
      <c r="D76" s="5" t="s">
        <v>38</v>
      </c>
      <c r="E76" s="5" t="s">
        <v>22</v>
      </c>
      <c r="F76" s="5" t="s">
        <v>14</v>
      </c>
      <c r="G76" s="5" t="s">
        <v>23</v>
      </c>
      <c r="H76" s="7">
        <v>5</v>
      </c>
      <c r="I76" s="2">
        <v>430</v>
      </c>
      <c r="J76" s="2">
        <v>2150</v>
      </c>
      <c r="K76" s="2">
        <v>380</v>
      </c>
      <c r="L76" s="11">
        <f t="shared" si="1"/>
        <v>0.17674418604651163</v>
      </c>
    </row>
    <row r="77" spans="1:12" ht="15.6" x14ac:dyDescent="0.3">
      <c r="A77" s="9">
        <v>1076</v>
      </c>
      <c r="B77" s="1">
        <v>45555</v>
      </c>
      <c r="C77" s="5" t="s">
        <v>11</v>
      </c>
      <c r="D77" s="5" t="s">
        <v>12</v>
      </c>
      <c r="E77" s="5" t="s">
        <v>32</v>
      </c>
      <c r="F77" s="5" t="s">
        <v>14</v>
      </c>
      <c r="G77" s="5" t="s">
        <v>15</v>
      </c>
      <c r="H77" s="7">
        <v>3</v>
      </c>
      <c r="I77" s="2">
        <v>335</v>
      </c>
      <c r="J77" s="2">
        <v>1005</v>
      </c>
      <c r="K77" s="2">
        <v>180</v>
      </c>
      <c r="L77" s="11">
        <f t="shared" si="1"/>
        <v>0.17910447761194029</v>
      </c>
    </row>
    <row r="78" spans="1:12" ht="15.6" x14ac:dyDescent="0.3">
      <c r="A78" s="9">
        <v>1077</v>
      </c>
      <c r="B78" s="1">
        <v>45557</v>
      </c>
      <c r="C78" s="5" t="s">
        <v>16</v>
      </c>
      <c r="D78" s="5" t="s">
        <v>39</v>
      </c>
      <c r="E78" s="5" t="s">
        <v>33</v>
      </c>
      <c r="F78" s="5" t="s">
        <v>26</v>
      </c>
      <c r="G78" s="5" t="s">
        <v>19</v>
      </c>
      <c r="H78" s="7">
        <v>2</v>
      </c>
      <c r="I78" s="2">
        <v>240</v>
      </c>
      <c r="J78" s="2">
        <v>480</v>
      </c>
      <c r="K78" s="2">
        <v>100</v>
      </c>
      <c r="L78" s="11">
        <f t="shared" si="1"/>
        <v>0.20833333333333334</v>
      </c>
    </row>
    <row r="79" spans="1:12" ht="15.6" x14ac:dyDescent="0.3">
      <c r="A79" s="17">
        <v>1080</v>
      </c>
      <c r="B79" s="18">
        <v>45565</v>
      </c>
      <c r="C79" s="19" t="s">
        <v>20</v>
      </c>
      <c r="D79" s="19" t="s">
        <v>29</v>
      </c>
      <c r="E79" s="19" t="s">
        <v>18</v>
      </c>
      <c r="F79" s="19" t="s">
        <v>14</v>
      </c>
      <c r="G79" s="19" t="s">
        <v>23</v>
      </c>
      <c r="H79" s="20">
        <v>6</v>
      </c>
      <c r="I79" s="21">
        <v>605</v>
      </c>
      <c r="J79" s="21">
        <v>3630</v>
      </c>
      <c r="K79" s="21">
        <v>620</v>
      </c>
      <c r="L79" s="22">
        <f t="shared" si="1"/>
        <v>0.17079889807162535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6EABC-DABB-45A3-9102-4DFDAB4FD80D}">
  <dimension ref="B2:J23"/>
  <sheetViews>
    <sheetView tabSelected="1" workbookViewId="0">
      <selection activeCell="K13" sqref="K13"/>
    </sheetView>
  </sheetViews>
  <sheetFormatPr defaultRowHeight="14.4" x14ac:dyDescent="0.3"/>
  <cols>
    <col min="1" max="1" width="19.33203125" customWidth="1"/>
    <col min="2" max="2" width="10" bestFit="1" customWidth="1"/>
    <col min="3" max="4" width="15.77734375" bestFit="1" customWidth="1"/>
    <col min="5" max="5" width="17" bestFit="1" customWidth="1"/>
    <col min="7" max="7" width="21.33203125" bestFit="1" customWidth="1"/>
    <col min="8" max="8" width="17" bestFit="1" customWidth="1"/>
    <col min="9" max="9" width="15.77734375" bestFit="1" customWidth="1"/>
    <col min="10" max="11" width="17" bestFit="1" customWidth="1"/>
  </cols>
  <sheetData>
    <row r="2" spans="2:10" ht="14.4" customHeight="1" x14ac:dyDescent="0.3">
      <c r="B2" s="54" t="s">
        <v>63</v>
      </c>
      <c r="C2" s="55"/>
      <c r="D2" s="55"/>
      <c r="E2" s="55"/>
      <c r="F2" s="55"/>
      <c r="G2" s="55"/>
      <c r="H2" s="55"/>
      <c r="I2" s="55"/>
      <c r="J2" s="56"/>
    </row>
    <row r="3" spans="2:10" ht="14.4" customHeight="1" x14ac:dyDescent="0.3">
      <c r="B3" s="57"/>
      <c r="C3" s="58"/>
      <c r="D3" s="58"/>
      <c r="E3" s="58"/>
      <c r="F3" s="58"/>
      <c r="G3" s="58"/>
      <c r="H3" s="58"/>
      <c r="I3" s="58"/>
      <c r="J3" s="59"/>
    </row>
    <row r="4" spans="2:10" ht="14.4" customHeight="1" x14ac:dyDescent="0.3"/>
    <row r="6" spans="2:10" x14ac:dyDescent="0.3">
      <c r="B6" s="26" t="s">
        <v>49</v>
      </c>
      <c r="G6" s="26" t="s">
        <v>65</v>
      </c>
    </row>
    <row r="7" spans="2:10" x14ac:dyDescent="0.3">
      <c r="C7" s="30" t="s">
        <v>42</v>
      </c>
      <c r="H7" s="30" t="s">
        <v>43</v>
      </c>
    </row>
    <row r="8" spans="2:10" x14ac:dyDescent="0.3">
      <c r="C8" s="32">
        <v>137399</v>
      </c>
      <c r="H8" s="32">
        <v>24325</v>
      </c>
    </row>
    <row r="10" spans="2:10" x14ac:dyDescent="0.3">
      <c r="B10" s="26" t="s">
        <v>64</v>
      </c>
    </row>
    <row r="11" spans="2:10" x14ac:dyDescent="0.3">
      <c r="C11" s="29" t="s">
        <v>45</v>
      </c>
      <c r="D11" s="30" t="s">
        <v>42</v>
      </c>
    </row>
    <row r="12" spans="2:10" x14ac:dyDescent="0.3">
      <c r="C12" s="31" t="s">
        <v>18</v>
      </c>
      <c r="D12" s="32">
        <v>54180</v>
      </c>
      <c r="G12" s="26" t="s">
        <v>66</v>
      </c>
      <c r="H12" s="30" t="s">
        <v>44</v>
      </c>
    </row>
    <row r="13" spans="2:10" x14ac:dyDescent="0.3">
      <c r="C13" s="31" t="s">
        <v>13</v>
      </c>
      <c r="D13" s="32">
        <v>24370</v>
      </c>
      <c r="H13" s="92">
        <v>4.0641025641025639</v>
      </c>
    </row>
    <row r="14" spans="2:10" x14ac:dyDescent="0.3">
      <c r="C14" s="31" t="s">
        <v>22</v>
      </c>
      <c r="D14" s="32">
        <v>19430</v>
      </c>
    </row>
    <row r="15" spans="2:10" x14ac:dyDescent="0.3">
      <c r="C15" s="31" t="s">
        <v>30</v>
      </c>
      <c r="D15" s="32">
        <v>11950</v>
      </c>
    </row>
    <row r="16" spans="2:10" x14ac:dyDescent="0.3">
      <c r="C16" s="31" t="s">
        <v>28</v>
      </c>
      <c r="D16" s="32">
        <v>10450</v>
      </c>
    </row>
    <row r="19" spans="2:9" x14ac:dyDescent="0.3">
      <c r="B19" s="26" t="s">
        <v>48</v>
      </c>
      <c r="G19" s="26" t="s">
        <v>47</v>
      </c>
    </row>
    <row r="20" spans="2:9" x14ac:dyDescent="0.3">
      <c r="C20" s="29" t="s">
        <v>45</v>
      </c>
      <c r="D20" s="30" t="s">
        <v>43</v>
      </c>
      <c r="H20" s="29" t="s">
        <v>45</v>
      </c>
      <c r="I20" s="30" t="s">
        <v>42</v>
      </c>
    </row>
    <row r="21" spans="2:9" x14ac:dyDescent="0.3">
      <c r="C21" s="31" t="s">
        <v>12</v>
      </c>
      <c r="D21" s="32">
        <v>4180</v>
      </c>
      <c r="H21" s="31" t="s">
        <v>14</v>
      </c>
      <c r="I21" s="32">
        <v>117080</v>
      </c>
    </row>
    <row r="22" spans="2:9" x14ac:dyDescent="0.3">
      <c r="C22" s="31" t="s">
        <v>36</v>
      </c>
      <c r="D22" s="32">
        <v>3430</v>
      </c>
    </row>
    <row r="23" spans="2:9" x14ac:dyDescent="0.3">
      <c r="C23" s="31" t="s">
        <v>21</v>
      </c>
      <c r="D23" s="32">
        <v>2980</v>
      </c>
    </row>
  </sheetData>
  <mergeCells count="1">
    <mergeCell ref="B2:J3"/>
  </mergeCells>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9A8D0-C51D-4C5B-A368-F98211D7F619}">
  <dimension ref="L2:V30"/>
  <sheetViews>
    <sheetView topLeftCell="K1" workbookViewId="0">
      <selection activeCell="L2" sqref="L2:V3"/>
    </sheetView>
  </sheetViews>
  <sheetFormatPr defaultRowHeight="14.4" x14ac:dyDescent="0.3"/>
  <cols>
    <col min="11" max="11" width="19.33203125" bestFit="1" customWidth="1"/>
    <col min="12" max="12" width="12.44140625" bestFit="1" customWidth="1"/>
    <col min="13" max="13" width="15.77734375" bestFit="1" customWidth="1"/>
    <col min="14" max="14" width="11.5546875" bestFit="1" customWidth="1"/>
    <col min="15" max="15" width="19.77734375" bestFit="1" customWidth="1"/>
    <col min="16" max="16" width="14.33203125" customWidth="1"/>
  </cols>
  <sheetData>
    <row r="2" spans="12:22" x14ac:dyDescent="0.3">
      <c r="L2" s="60" t="s">
        <v>61</v>
      </c>
      <c r="M2" s="60"/>
      <c r="N2" s="60"/>
      <c r="O2" s="60"/>
      <c r="P2" s="60"/>
      <c r="Q2" s="60"/>
      <c r="R2" s="60"/>
      <c r="S2" s="60"/>
      <c r="T2" s="60"/>
      <c r="U2" s="60"/>
      <c r="V2" s="60"/>
    </row>
    <row r="3" spans="12:22" x14ac:dyDescent="0.3">
      <c r="L3" s="60"/>
      <c r="M3" s="60"/>
      <c r="N3" s="60"/>
      <c r="O3" s="60"/>
      <c r="P3" s="60"/>
      <c r="Q3" s="60"/>
      <c r="R3" s="60"/>
      <c r="S3" s="60"/>
      <c r="T3" s="60"/>
      <c r="U3" s="60"/>
      <c r="V3" s="60"/>
    </row>
    <row r="6" spans="12:22" x14ac:dyDescent="0.3">
      <c r="L6" s="24" t="s">
        <v>45</v>
      </c>
      <c r="M6" t="s">
        <v>42</v>
      </c>
    </row>
    <row r="7" spans="12:22" x14ac:dyDescent="0.3">
      <c r="L7" s="25" t="s">
        <v>50</v>
      </c>
      <c r="M7" s="23">
        <v>7300</v>
      </c>
    </row>
    <row r="8" spans="12:22" x14ac:dyDescent="0.3">
      <c r="L8" s="25" t="s">
        <v>51</v>
      </c>
      <c r="M8" s="23">
        <v>4180</v>
      </c>
    </row>
    <row r="9" spans="12:22" x14ac:dyDescent="0.3">
      <c r="L9" s="25" t="s">
        <v>52</v>
      </c>
      <c r="M9" s="23">
        <v>10260</v>
      </c>
    </row>
    <row r="10" spans="12:22" x14ac:dyDescent="0.3">
      <c r="L10" s="25" t="s">
        <v>53</v>
      </c>
      <c r="M10" s="23">
        <v>10930</v>
      </c>
    </row>
    <row r="11" spans="12:22" x14ac:dyDescent="0.3">
      <c r="L11" s="25" t="s">
        <v>54</v>
      </c>
      <c r="M11" s="23">
        <v>10360</v>
      </c>
    </row>
    <row r="12" spans="12:22" x14ac:dyDescent="0.3">
      <c r="L12" s="25" t="s">
        <v>55</v>
      </c>
      <c r="M12" s="23">
        <v>9540</v>
      </c>
    </row>
    <row r="13" spans="12:22" x14ac:dyDescent="0.3">
      <c r="L13" s="25" t="s">
        <v>56</v>
      </c>
      <c r="M13" s="23">
        <v>28149</v>
      </c>
    </row>
    <row r="14" spans="12:22" x14ac:dyDescent="0.3">
      <c r="L14" s="25" t="s">
        <v>57</v>
      </c>
      <c r="M14" s="23">
        <v>34445</v>
      </c>
    </row>
    <row r="15" spans="12:22" x14ac:dyDescent="0.3">
      <c r="L15" s="25" t="s">
        <v>58</v>
      </c>
      <c r="M15" s="23">
        <v>22235</v>
      </c>
    </row>
    <row r="16" spans="12:22" x14ac:dyDescent="0.3">
      <c r="L16" s="25" t="s">
        <v>46</v>
      </c>
      <c r="M16" s="23">
        <v>137399</v>
      </c>
    </row>
    <row r="18" spans="12:21" x14ac:dyDescent="0.3">
      <c r="M18" s="23"/>
    </row>
    <row r="20" spans="12:21" x14ac:dyDescent="0.3">
      <c r="L20" s="24" t="s">
        <v>45</v>
      </c>
      <c r="M20" t="s">
        <v>43</v>
      </c>
    </row>
    <row r="21" spans="12:21" x14ac:dyDescent="0.3">
      <c r="L21" s="25" t="s">
        <v>50</v>
      </c>
      <c r="M21" s="23">
        <v>1270</v>
      </c>
    </row>
    <row r="22" spans="12:21" x14ac:dyDescent="0.3">
      <c r="L22" s="25" t="s">
        <v>51</v>
      </c>
      <c r="M22" s="23">
        <v>730</v>
      </c>
      <c r="O22" s="26" t="s">
        <v>59</v>
      </c>
      <c r="P22" s="27" t="s">
        <v>57</v>
      </c>
    </row>
    <row r="23" spans="12:21" x14ac:dyDescent="0.3">
      <c r="L23" s="25" t="s">
        <v>52</v>
      </c>
      <c r="M23" s="23">
        <v>1830</v>
      </c>
      <c r="P23" s="28"/>
    </row>
    <row r="24" spans="12:21" x14ac:dyDescent="0.3">
      <c r="L24" s="25" t="s">
        <v>53</v>
      </c>
      <c r="M24" s="23">
        <v>1930</v>
      </c>
      <c r="P24" s="28"/>
    </row>
    <row r="25" spans="12:21" x14ac:dyDescent="0.3">
      <c r="L25" s="25" t="s">
        <v>54</v>
      </c>
      <c r="M25" s="23">
        <v>1830</v>
      </c>
      <c r="P25" s="28"/>
      <c r="U25" t="s">
        <v>62</v>
      </c>
    </row>
    <row r="26" spans="12:21" x14ac:dyDescent="0.3">
      <c r="L26" s="25" t="s">
        <v>55</v>
      </c>
      <c r="M26" s="23">
        <v>1710</v>
      </c>
      <c r="O26" s="26" t="s">
        <v>60</v>
      </c>
      <c r="P26" s="27" t="s">
        <v>51</v>
      </c>
    </row>
    <row r="27" spans="12:21" x14ac:dyDescent="0.3">
      <c r="L27" s="25" t="s">
        <v>56</v>
      </c>
      <c r="M27" s="23">
        <v>4995</v>
      </c>
    </row>
    <row r="28" spans="12:21" x14ac:dyDescent="0.3">
      <c r="L28" s="25" t="s">
        <v>57</v>
      </c>
      <c r="M28" s="23">
        <v>6040</v>
      </c>
    </row>
    <row r="29" spans="12:21" x14ac:dyDescent="0.3">
      <c r="L29" s="25" t="s">
        <v>58</v>
      </c>
      <c r="M29" s="23">
        <v>3990</v>
      </c>
    </row>
    <row r="30" spans="12:21" x14ac:dyDescent="0.3">
      <c r="L30" s="25" t="s">
        <v>46</v>
      </c>
      <c r="M30" s="23">
        <v>24325</v>
      </c>
    </row>
  </sheetData>
  <mergeCells count="1">
    <mergeCell ref="L2:V3"/>
  </mergeCell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5FB06-7F04-4B5F-85E5-F5DBF2F0551F}">
  <dimension ref="B2:K29"/>
  <sheetViews>
    <sheetView workbookViewId="0">
      <selection activeCell="C18" sqref="C18"/>
    </sheetView>
  </sheetViews>
  <sheetFormatPr defaultRowHeight="14.4" x14ac:dyDescent="0.3"/>
  <cols>
    <col min="1" max="1" width="17.33203125" customWidth="1"/>
    <col min="2" max="2" width="15.109375" customWidth="1"/>
    <col min="3" max="3" width="12.6640625" bestFit="1" customWidth="1"/>
    <col min="4" max="4" width="15.77734375" bestFit="1" customWidth="1"/>
    <col min="5" max="5" width="11.5546875" bestFit="1" customWidth="1"/>
    <col min="8" max="8" width="23.77734375" bestFit="1" customWidth="1"/>
    <col min="9" max="9" width="19" bestFit="1" customWidth="1"/>
  </cols>
  <sheetData>
    <row r="2" spans="2:11" ht="36.6" x14ac:dyDescent="0.3">
      <c r="B2" s="61" t="s">
        <v>71</v>
      </c>
      <c r="C2" s="62"/>
      <c r="D2" s="62"/>
      <c r="E2" s="62"/>
      <c r="F2" s="62"/>
      <c r="G2" s="62"/>
      <c r="H2" s="62"/>
      <c r="I2" s="62"/>
      <c r="J2" s="62"/>
      <c r="K2" s="63"/>
    </row>
    <row r="5" spans="2:11" x14ac:dyDescent="0.3">
      <c r="B5" s="26" t="s">
        <v>67</v>
      </c>
    </row>
    <row r="6" spans="2:11" x14ac:dyDescent="0.3">
      <c r="C6" s="29" t="s">
        <v>45</v>
      </c>
      <c r="D6" s="30" t="s">
        <v>42</v>
      </c>
      <c r="E6" s="30" t="s">
        <v>43</v>
      </c>
      <c r="H6" s="26" t="s">
        <v>69</v>
      </c>
      <c r="I6" s="33" t="s">
        <v>20</v>
      </c>
    </row>
    <row r="7" spans="2:11" x14ac:dyDescent="0.3">
      <c r="C7" s="31" t="s">
        <v>20</v>
      </c>
      <c r="D7" s="32">
        <v>52399</v>
      </c>
      <c r="E7" s="32">
        <v>9310</v>
      </c>
    </row>
    <row r="8" spans="2:11" x14ac:dyDescent="0.3">
      <c r="C8" s="31" t="s">
        <v>16</v>
      </c>
      <c r="D8" s="32">
        <v>39840</v>
      </c>
      <c r="E8" s="32">
        <v>7055</v>
      </c>
    </row>
    <row r="9" spans="2:11" x14ac:dyDescent="0.3">
      <c r="C9" s="31" t="s">
        <v>11</v>
      </c>
      <c r="D9" s="32">
        <v>45160</v>
      </c>
      <c r="E9" s="32">
        <v>7960</v>
      </c>
    </row>
    <row r="10" spans="2:11" x14ac:dyDescent="0.3">
      <c r="C10" s="31" t="s">
        <v>46</v>
      </c>
      <c r="D10" s="32">
        <v>137399</v>
      </c>
      <c r="E10" s="32">
        <v>24325</v>
      </c>
      <c r="H10" s="26" t="s">
        <v>70</v>
      </c>
      <c r="I10" s="33" t="s">
        <v>40</v>
      </c>
    </row>
    <row r="11" spans="2:11" x14ac:dyDescent="0.3">
      <c r="I11" s="33" t="s">
        <v>37</v>
      </c>
    </row>
    <row r="12" spans="2:11" x14ac:dyDescent="0.3">
      <c r="I12" s="33" t="s">
        <v>39</v>
      </c>
    </row>
    <row r="13" spans="2:11" x14ac:dyDescent="0.3">
      <c r="B13" s="26" t="s">
        <v>68</v>
      </c>
    </row>
    <row r="14" spans="2:11" x14ac:dyDescent="0.3">
      <c r="C14" s="29" t="s">
        <v>45</v>
      </c>
      <c r="D14" s="30" t="s">
        <v>42</v>
      </c>
      <c r="E14" s="30" t="s">
        <v>43</v>
      </c>
    </row>
    <row r="15" spans="2:11" x14ac:dyDescent="0.3">
      <c r="C15" s="31" t="s">
        <v>40</v>
      </c>
      <c r="D15" s="32">
        <v>910</v>
      </c>
      <c r="E15" s="32">
        <v>160</v>
      </c>
    </row>
    <row r="16" spans="2:11" x14ac:dyDescent="0.3">
      <c r="C16" s="31" t="s">
        <v>37</v>
      </c>
      <c r="D16" s="32">
        <v>2825</v>
      </c>
      <c r="E16" s="32">
        <v>520</v>
      </c>
    </row>
    <row r="17" spans="3:5" x14ac:dyDescent="0.3">
      <c r="C17" s="31" t="s">
        <v>39</v>
      </c>
      <c r="D17" s="32">
        <v>2990</v>
      </c>
      <c r="E17" s="32">
        <v>540</v>
      </c>
    </row>
    <row r="18" spans="3:5" x14ac:dyDescent="0.3">
      <c r="C18" s="31" t="s">
        <v>27</v>
      </c>
      <c r="D18" s="32">
        <v>5365</v>
      </c>
      <c r="E18" s="32">
        <v>1050</v>
      </c>
    </row>
    <row r="19" spans="3:5" x14ac:dyDescent="0.3">
      <c r="C19" s="31" t="s">
        <v>31</v>
      </c>
      <c r="D19" s="32">
        <v>5930</v>
      </c>
      <c r="E19" s="32">
        <v>1025</v>
      </c>
    </row>
    <row r="20" spans="3:5" x14ac:dyDescent="0.3">
      <c r="C20" s="31" t="s">
        <v>38</v>
      </c>
      <c r="D20" s="32">
        <v>6405</v>
      </c>
      <c r="E20" s="32">
        <v>1170</v>
      </c>
    </row>
    <row r="21" spans="3:5" x14ac:dyDescent="0.3">
      <c r="C21" s="31" t="s">
        <v>24</v>
      </c>
      <c r="D21" s="32">
        <v>7535</v>
      </c>
      <c r="E21" s="32">
        <v>1400</v>
      </c>
    </row>
    <row r="22" spans="3:5" x14ac:dyDescent="0.3">
      <c r="C22" s="31" t="s">
        <v>29</v>
      </c>
      <c r="D22" s="32">
        <v>9675</v>
      </c>
      <c r="E22" s="32">
        <v>1730</v>
      </c>
    </row>
    <row r="23" spans="3:5" x14ac:dyDescent="0.3">
      <c r="C23" s="31" t="s">
        <v>35</v>
      </c>
      <c r="D23" s="32">
        <v>10200</v>
      </c>
      <c r="E23" s="32">
        <v>1730</v>
      </c>
    </row>
    <row r="24" spans="3:5" x14ac:dyDescent="0.3">
      <c r="C24" s="31" t="s">
        <v>17</v>
      </c>
      <c r="D24" s="32">
        <v>11620</v>
      </c>
      <c r="E24" s="32">
        <v>2030</v>
      </c>
    </row>
    <row r="25" spans="3:5" x14ac:dyDescent="0.3">
      <c r="C25" s="31" t="s">
        <v>34</v>
      </c>
      <c r="D25" s="32">
        <v>13520</v>
      </c>
      <c r="E25" s="32">
        <v>2380</v>
      </c>
    </row>
    <row r="26" spans="3:5" x14ac:dyDescent="0.3">
      <c r="C26" s="31" t="s">
        <v>21</v>
      </c>
      <c r="D26" s="32">
        <v>16854</v>
      </c>
      <c r="E26" s="32">
        <v>2980</v>
      </c>
    </row>
    <row r="27" spans="3:5" x14ac:dyDescent="0.3">
      <c r="C27" s="31" t="s">
        <v>36</v>
      </c>
      <c r="D27" s="32">
        <v>19465</v>
      </c>
      <c r="E27" s="32">
        <v>3430</v>
      </c>
    </row>
    <row r="28" spans="3:5" x14ac:dyDescent="0.3">
      <c r="C28" s="31" t="s">
        <v>12</v>
      </c>
      <c r="D28" s="32">
        <v>24105</v>
      </c>
      <c r="E28" s="32">
        <v>4180</v>
      </c>
    </row>
    <row r="29" spans="3:5" x14ac:dyDescent="0.3">
      <c r="C29" s="31" t="s">
        <v>46</v>
      </c>
      <c r="D29" s="32">
        <v>137399</v>
      </c>
      <c r="E29" s="32">
        <v>24325</v>
      </c>
    </row>
  </sheetData>
  <mergeCells count="1">
    <mergeCell ref="B2:K2"/>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F531D-FE12-48DA-9010-1CCC572CEAFF}">
  <dimension ref="B2:K19"/>
  <sheetViews>
    <sheetView workbookViewId="0">
      <selection activeCell="I6" sqref="I6"/>
    </sheetView>
  </sheetViews>
  <sheetFormatPr defaultRowHeight="14.4" x14ac:dyDescent="0.3"/>
  <cols>
    <col min="1" max="1" width="17.77734375" customWidth="1"/>
    <col min="2" max="2" width="20.21875" bestFit="1" customWidth="1"/>
    <col min="3" max="3" width="12.44140625" bestFit="1" customWidth="1"/>
    <col min="4" max="4" width="15.77734375" bestFit="1" customWidth="1"/>
    <col min="5" max="5" width="11.5546875" bestFit="1" customWidth="1"/>
    <col min="8" max="8" width="33" bestFit="1" customWidth="1"/>
    <col min="9" max="9" width="12.5546875" customWidth="1"/>
  </cols>
  <sheetData>
    <row r="2" spans="2:11" ht="36.6" x14ac:dyDescent="0.3">
      <c r="B2" s="61" t="s">
        <v>72</v>
      </c>
      <c r="C2" s="62"/>
      <c r="D2" s="62"/>
      <c r="E2" s="62"/>
      <c r="F2" s="62"/>
      <c r="G2" s="62"/>
      <c r="H2" s="62"/>
      <c r="I2" s="62"/>
      <c r="J2" s="62"/>
      <c r="K2" s="63"/>
    </row>
    <row r="5" spans="2:11" x14ac:dyDescent="0.3">
      <c r="B5" s="26" t="s">
        <v>73</v>
      </c>
    </row>
    <row r="6" spans="2:11" x14ac:dyDescent="0.3">
      <c r="C6" s="29" t="s">
        <v>45</v>
      </c>
      <c r="D6" s="30" t="s">
        <v>42</v>
      </c>
      <c r="E6" s="30" t="s">
        <v>43</v>
      </c>
      <c r="H6" s="26" t="s">
        <v>77</v>
      </c>
      <c r="I6" s="33" t="s">
        <v>23</v>
      </c>
    </row>
    <row r="7" spans="2:11" x14ac:dyDescent="0.3">
      <c r="C7" s="31" t="s">
        <v>23</v>
      </c>
      <c r="D7" s="32">
        <v>51859</v>
      </c>
      <c r="E7" s="32">
        <v>9200</v>
      </c>
    </row>
    <row r="8" spans="2:11" x14ac:dyDescent="0.3">
      <c r="C8" s="31" t="s">
        <v>15</v>
      </c>
      <c r="D8" s="32">
        <v>45700</v>
      </c>
      <c r="E8" s="32">
        <v>8070</v>
      </c>
      <c r="H8" s="26" t="s">
        <v>76</v>
      </c>
      <c r="I8" s="33" t="s">
        <v>23</v>
      </c>
    </row>
    <row r="9" spans="2:11" x14ac:dyDescent="0.3">
      <c r="C9" s="31" t="s">
        <v>19</v>
      </c>
      <c r="D9" s="32">
        <v>39840</v>
      </c>
      <c r="E9" s="32">
        <v>7055</v>
      </c>
    </row>
    <row r="10" spans="2:11" x14ac:dyDescent="0.3">
      <c r="C10" s="31" t="s">
        <v>46</v>
      </c>
      <c r="D10" s="32">
        <v>137399</v>
      </c>
      <c r="E10" s="32">
        <v>24325</v>
      </c>
    </row>
    <row r="14" spans="2:11" x14ac:dyDescent="0.3">
      <c r="B14" s="26" t="s">
        <v>74</v>
      </c>
    </row>
    <row r="15" spans="2:11" x14ac:dyDescent="0.3">
      <c r="C15" s="29" t="s">
        <v>45</v>
      </c>
      <c r="D15" s="30" t="s">
        <v>75</v>
      </c>
      <c r="E15" s="30" t="s">
        <v>78</v>
      </c>
    </row>
    <row r="16" spans="2:11" x14ac:dyDescent="0.3">
      <c r="C16" s="31" t="s">
        <v>23</v>
      </c>
      <c r="D16" s="32">
        <v>368</v>
      </c>
      <c r="E16" s="10">
        <v>0.25</v>
      </c>
    </row>
    <row r="17" spans="3:5" x14ac:dyDescent="0.3">
      <c r="C17" s="31" t="s">
        <v>15</v>
      </c>
      <c r="D17" s="32">
        <v>298.88888888888891</v>
      </c>
      <c r="E17" s="10">
        <v>0.20930232558139536</v>
      </c>
    </row>
    <row r="18" spans="3:5" x14ac:dyDescent="0.3">
      <c r="C18" s="31" t="s">
        <v>19</v>
      </c>
      <c r="D18" s="32">
        <v>271.34615384615387</v>
      </c>
      <c r="E18" s="10">
        <v>0.22222222222222221</v>
      </c>
    </row>
    <row r="19" spans="3:5" x14ac:dyDescent="0.3">
      <c r="C19" s="31" t="s">
        <v>46</v>
      </c>
      <c r="D19" s="32">
        <v>311.85897435897436</v>
      </c>
      <c r="E19" s="10">
        <v>0.25</v>
      </c>
    </row>
  </sheetData>
  <mergeCells count="1">
    <mergeCell ref="B2:K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43EC4-D8A6-4DC3-A24C-8FDBE2CD6EA6}">
  <dimension ref="B2:N22"/>
  <sheetViews>
    <sheetView topLeftCell="B1" workbookViewId="0">
      <selection activeCell="I14" sqref="I14"/>
    </sheetView>
  </sheetViews>
  <sheetFormatPr defaultRowHeight="14.4" x14ac:dyDescent="0.3"/>
  <cols>
    <col min="1" max="1" width="18" customWidth="1"/>
    <col min="2" max="2" width="20.109375" bestFit="1" customWidth="1"/>
    <col min="3" max="3" width="12.44140625" bestFit="1" customWidth="1"/>
    <col min="4" max="4" width="15.77734375" bestFit="1" customWidth="1"/>
    <col min="5" max="5" width="11.5546875" bestFit="1" customWidth="1"/>
    <col min="6" max="6" width="11.44140625" bestFit="1" customWidth="1"/>
    <col min="9" max="9" width="30.109375" bestFit="1" customWidth="1"/>
    <col min="10" max="10" width="10.77734375" bestFit="1" customWidth="1"/>
  </cols>
  <sheetData>
    <row r="2" spans="2:14" ht="36.6" x14ac:dyDescent="0.3">
      <c r="B2" s="60" t="s">
        <v>79</v>
      </c>
      <c r="C2" s="60"/>
      <c r="D2" s="60"/>
      <c r="E2" s="60"/>
      <c r="F2" s="60"/>
      <c r="G2" s="60"/>
      <c r="H2" s="60"/>
      <c r="I2" s="60"/>
      <c r="J2" s="60"/>
      <c r="K2" s="60"/>
      <c r="L2" s="60"/>
      <c r="M2" s="60"/>
      <c r="N2" s="60"/>
    </row>
    <row r="5" spans="2:14" x14ac:dyDescent="0.3">
      <c r="B5" t="s">
        <v>80</v>
      </c>
      <c r="I5" s="26" t="s">
        <v>83</v>
      </c>
      <c r="J5" s="33" t="s">
        <v>18</v>
      </c>
    </row>
    <row r="6" spans="2:14" x14ac:dyDescent="0.3">
      <c r="C6" s="29" t="s">
        <v>45</v>
      </c>
      <c r="D6" s="30" t="s">
        <v>42</v>
      </c>
      <c r="I6" s="34"/>
      <c r="J6" s="33" t="s">
        <v>22</v>
      </c>
    </row>
    <row r="7" spans="2:14" x14ac:dyDescent="0.3">
      <c r="C7" s="31" t="s">
        <v>14</v>
      </c>
      <c r="D7" s="10">
        <v>0.85211682763338892</v>
      </c>
    </row>
    <row r="8" spans="2:14" x14ac:dyDescent="0.3">
      <c r="C8" s="31" t="s">
        <v>26</v>
      </c>
      <c r="D8" s="10">
        <v>0.14788317236661111</v>
      </c>
      <c r="I8" s="34"/>
    </row>
    <row r="9" spans="2:14" x14ac:dyDescent="0.3">
      <c r="C9" s="31" t="s">
        <v>46</v>
      </c>
      <c r="D9" s="10">
        <v>1</v>
      </c>
    </row>
    <row r="10" spans="2:14" x14ac:dyDescent="0.3">
      <c r="I10" s="26" t="s">
        <v>84</v>
      </c>
      <c r="J10" s="33" t="s">
        <v>33</v>
      </c>
    </row>
    <row r="11" spans="2:14" x14ac:dyDescent="0.3">
      <c r="J11" s="33" t="s">
        <v>28</v>
      </c>
    </row>
    <row r="12" spans="2:14" x14ac:dyDescent="0.3">
      <c r="B12" t="s">
        <v>81</v>
      </c>
      <c r="J12" s="33" t="s">
        <v>25</v>
      </c>
    </row>
    <row r="13" spans="2:14" x14ac:dyDescent="0.3">
      <c r="C13" s="29" t="s">
        <v>45</v>
      </c>
      <c r="D13" s="30" t="s">
        <v>42</v>
      </c>
      <c r="E13" s="30" t="s">
        <v>43</v>
      </c>
      <c r="F13" s="38" t="s">
        <v>82</v>
      </c>
    </row>
    <row r="14" spans="2:14" x14ac:dyDescent="0.3">
      <c r="C14" s="31" t="s">
        <v>18</v>
      </c>
      <c r="D14" s="32">
        <v>54180</v>
      </c>
      <c r="E14" s="32">
        <v>9210</v>
      </c>
      <c r="F14" s="36">
        <f>GETPIVOTDATA("Sum of Profit",$C$13,"Product",$C14)/GETPIVOTDATA("Sum of TotalSales",$C$13,"Product",C14)</f>
        <v>0.1699889258028793</v>
      </c>
    </row>
    <row r="15" spans="2:14" x14ac:dyDescent="0.3">
      <c r="C15" s="31" t="s">
        <v>13</v>
      </c>
      <c r="D15" s="32">
        <v>24370</v>
      </c>
      <c r="E15" s="32">
        <v>4270</v>
      </c>
      <c r="F15" s="36">
        <f t="shared" ref="F15:F21" si="0">GETPIVOTDATA("Sum of Profit",$C$13,"Product",$C15)/GETPIVOTDATA("Sum of TotalSales",$C$13,"Product",C15)</f>
        <v>0.1752154288059089</v>
      </c>
      <c r="H15" s="35"/>
    </row>
    <row r="16" spans="2:14" x14ac:dyDescent="0.3">
      <c r="C16" s="31" t="s">
        <v>22</v>
      </c>
      <c r="D16" s="32">
        <v>19430</v>
      </c>
      <c r="E16" s="32">
        <v>3270</v>
      </c>
      <c r="F16" s="36">
        <f t="shared" si="0"/>
        <v>0.1682964487905301</v>
      </c>
    </row>
    <row r="17" spans="3:6" x14ac:dyDescent="0.3">
      <c r="C17" s="31" t="s">
        <v>30</v>
      </c>
      <c r="D17" s="32">
        <v>11950</v>
      </c>
      <c r="E17" s="32">
        <v>2220</v>
      </c>
      <c r="F17" s="36">
        <f t="shared" si="0"/>
        <v>0.18577405857740587</v>
      </c>
    </row>
    <row r="18" spans="3:6" x14ac:dyDescent="0.3">
      <c r="C18" s="31" t="s">
        <v>28</v>
      </c>
      <c r="D18" s="32">
        <v>10450</v>
      </c>
      <c r="E18" s="32">
        <v>2050</v>
      </c>
      <c r="F18" s="36">
        <f t="shared" si="0"/>
        <v>0.19617224880382775</v>
      </c>
    </row>
    <row r="19" spans="3:6" x14ac:dyDescent="0.3">
      <c r="C19" s="31" t="s">
        <v>32</v>
      </c>
      <c r="D19" s="32">
        <v>7150</v>
      </c>
      <c r="E19" s="32">
        <v>1290</v>
      </c>
      <c r="F19" s="36">
        <f t="shared" si="0"/>
        <v>0.18041958041958042</v>
      </c>
    </row>
    <row r="20" spans="3:6" x14ac:dyDescent="0.3">
      <c r="C20" s="31" t="s">
        <v>25</v>
      </c>
      <c r="D20" s="32">
        <v>6759</v>
      </c>
      <c r="E20" s="32">
        <v>1350</v>
      </c>
      <c r="F20" s="36">
        <f t="shared" si="0"/>
        <v>0.19973368841544606</v>
      </c>
    </row>
    <row r="21" spans="3:6" x14ac:dyDescent="0.3">
      <c r="C21" s="31" t="s">
        <v>33</v>
      </c>
      <c r="D21" s="32">
        <v>3110</v>
      </c>
      <c r="E21" s="32">
        <v>665</v>
      </c>
      <c r="F21" s="36">
        <f t="shared" si="0"/>
        <v>0.21382636655948553</v>
      </c>
    </row>
    <row r="22" spans="3:6" x14ac:dyDescent="0.3">
      <c r="C22" s="31" t="s">
        <v>46</v>
      </c>
      <c r="D22" s="32">
        <v>137399</v>
      </c>
      <c r="E22" s="32">
        <v>24325</v>
      </c>
      <c r="F22" s="37"/>
    </row>
  </sheetData>
  <mergeCells count="1">
    <mergeCell ref="B2:N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41C3C-3599-473F-919A-1243510A87A7}">
  <dimension ref="B1:X32"/>
  <sheetViews>
    <sheetView workbookViewId="0">
      <selection activeCell="C12" sqref="C12"/>
    </sheetView>
  </sheetViews>
  <sheetFormatPr defaultRowHeight="14.4" x14ac:dyDescent="0.3"/>
  <cols>
    <col min="1" max="1" width="1.5546875" customWidth="1"/>
    <col min="5" max="5" width="7.44140625" customWidth="1"/>
    <col min="8" max="8" width="8.88671875" customWidth="1"/>
    <col min="10" max="10" width="8.88671875" customWidth="1"/>
  </cols>
  <sheetData>
    <row r="1" spans="2:24" ht="13.8" customHeight="1" thickBot="1" x14ac:dyDescent="0.35"/>
    <row r="2" spans="2:24" x14ac:dyDescent="0.3">
      <c r="B2" s="39"/>
      <c r="C2" s="40"/>
      <c r="D2" s="40"/>
      <c r="E2" s="40"/>
      <c r="F2" s="40"/>
      <c r="G2" s="40"/>
      <c r="H2" s="40"/>
      <c r="I2" s="40"/>
      <c r="J2" s="40"/>
      <c r="K2" s="40"/>
      <c r="L2" s="40"/>
      <c r="M2" s="40"/>
      <c r="N2" s="40"/>
      <c r="O2" s="40"/>
      <c r="P2" s="40"/>
      <c r="Q2" s="40"/>
      <c r="R2" s="40"/>
      <c r="S2" s="40"/>
      <c r="T2" s="40"/>
      <c r="U2" s="40"/>
      <c r="V2" s="40"/>
      <c r="W2" s="40"/>
      <c r="X2" s="41"/>
    </row>
    <row r="3" spans="2:24" x14ac:dyDescent="0.3">
      <c r="B3" s="42"/>
      <c r="C3" s="46"/>
      <c r="D3" s="46"/>
      <c r="E3" s="46"/>
      <c r="F3" s="46"/>
      <c r="G3" s="46"/>
      <c r="H3" s="46"/>
      <c r="I3" s="46"/>
      <c r="J3" s="46"/>
      <c r="K3" s="46"/>
      <c r="L3" s="46"/>
      <c r="M3" s="46"/>
      <c r="N3" s="46"/>
      <c r="O3" s="46"/>
      <c r="P3" s="46"/>
      <c r="Q3" s="46"/>
      <c r="R3" s="46"/>
      <c r="S3" s="46"/>
      <c r="T3" s="46"/>
      <c r="U3" s="46"/>
      <c r="V3" s="46"/>
      <c r="W3" s="46"/>
      <c r="X3" s="43"/>
    </row>
    <row r="4" spans="2:24" x14ac:dyDescent="0.3">
      <c r="B4" s="42"/>
      <c r="C4" s="46"/>
      <c r="D4" s="46"/>
      <c r="E4" s="46"/>
      <c r="F4" s="46"/>
      <c r="G4" s="46"/>
      <c r="H4" s="46"/>
      <c r="I4" s="46"/>
      <c r="J4" s="46"/>
      <c r="K4" s="46"/>
      <c r="L4" s="46"/>
      <c r="M4" s="46"/>
      <c r="N4" s="46"/>
      <c r="O4" s="46"/>
      <c r="P4" s="46"/>
      <c r="Q4" s="46"/>
      <c r="R4" s="46"/>
      <c r="S4" s="46"/>
      <c r="T4" s="46"/>
      <c r="U4" s="46"/>
      <c r="V4" s="46"/>
      <c r="W4" s="46"/>
      <c r="X4" s="43"/>
    </row>
    <row r="5" spans="2:24" x14ac:dyDescent="0.3">
      <c r="B5" s="42"/>
      <c r="C5" s="46"/>
      <c r="D5" s="46"/>
      <c r="E5" s="46"/>
      <c r="F5" s="46"/>
      <c r="G5" s="46"/>
      <c r="H5" s="46"/>
      <c r="I5" s="46"/>
      <c r="J5" s="46"/>
      <c r="K5" s="46"/>
      <c r="L5" s="46"/>
      <c r="M5" s="46"/>
      <c r="N5" s="46"/>
      <c r="O5" s="46"/>
      <c r="P5" s="46"/>
      <c r="Q5" s="46"/>
      <c r="R5" s="46"/>
      <c r="S5" s="46"/>
      <c r="T5" s="46"/>
      <c r="U5" s="46"/>
      <c r="V5" s="46"/>
      <c r="W5" s="46"/>
      <c r="X5" s="43"/>
    </row>
    <row r="6" spans="2:24" x14ac:dyDescent="0.3">
      <c r="B6" s="42"/>
      <c r="C6" s="46"/>
      <c r="D6" s="46"/>
      <c r="E6" s="46"/>
      <c r="F6" s="46"/>
      <c r="G6" s="46"/>
      <c r="H6" s="46"/>
      <c r="I6" s="46"/>
      <c r="J6" s="46"/>
      <c r="K6" s="46"/>
      <c r="L6" s="46"/>
      <c r="M6" s="46"/>
      <c r="N6" s="46"/>
      <c r="O6" s="46"/>
      <c r="P6" s="46"/>
      <c r="Q6" s="46"/>
      <c r="R6" s="46"/>
      <c r="S6" s="46"/>
      <c r="T6" s="46"/>
      <c r="U6" s="46"/>
      <c r="V6" s="46"/>
      <c r="W6" s="46"/>
      <c r="X6" s="43"/>
    </row>
    <row r="7" spans="2:24" ht="15" thickBot="1" x14ac:dyDescent="0.35">
      <c r="B7" s="42"/>
      <c r="C7" s="46"/>
      <c r="D7" s="46"/>
      <c r="E7" s="46"/>
      <c r="F7" s="46"/>
      <c r="G7" s="46"/>
      <c r="H7" s="46"/>
      <c r="I7" s="46"/>
      <c r="J7" s="46"/>
      <c r="K7" s="46"/>
      <c r="L7" s="46"/>
      <c r="M7" s="46"/>
      <c r="N7" s="46"/>
      <c r="O7" s="46"/>
      <c r="P7" s="46"/>
      <c r="Q7" s="46"/>
      <c r="R7" s="46"/>
      <c r="S7" s="46"/>
      <c r="T7" s="46"/>
      <c r="U7" s="46"/>
      <c r="V7" s="46"/>
      <c r="W7" s="46"/>
      <c r="X7" s="43"/>
    </row>
    <row r="8" spans="2:24" ht="14.4" customHeight="1" x14ac:dyDescent="0.3">
      <c r="B8" s="42"/>
      <c r="C8" s="46"/>
      <c r="D8" s="46"/>
      <c r="E8" s="46"/>
      <c r="F8" s="66">
        <f>GETPIVOTDATA("TotalSales",'Sales Performance Analysis'!$C$7)</f>
        <v>137399</v>
      </c>
      <c r="G8" s="67"/>
      <c r="H8" s="68"/>
      <c r="I8" s="46"/>
      <c r="J8" s="46"/>
      <c r="K8" s="46"/>
      <c r="L8" s="66">
        <f>GETPIVOTDATA("Profit",'Sales Performance Analysis'!$H$7)</f>
        <v>24325</v>
      </c>
      <c r="M8" s="67"/>
      <c r="N8" s="68"/>
      <c r="O8" s="46"/>
      <c r="P8" s="46"/>
      <c r="Q8" s="46"/>
      <c r="R8" s="46"/>
      <c r="S8" s="46"/>
      <c r="T8" s="46"/>
      <c r="U8" s="46"/>
      <c r="V8" s="46"/>
      <c r="W8" s="46"/>
      <c r="X8" s="43"/>
    </row>
    <row r="9" spans="2:24" ht="15" customHeight="1" thickBot="1" x14ac:dyDescent="0.35">
      <c r="B9" s="42"/>
      <c r="C9" s="46"/>
      <c r="D9" s="46"/>
      <c r="E9" s="46"/>
      <c r="F9" s="69"/>
      <c r="G9" s="70"/>
      <c r="H9" s="71"/>
      <c r="I9" s="46"/>
      <c r="J9" s="46"/>
      <c r="K9" s="46"/>
      <c r="L9" s="69"/>
      <c r="M9" s="70"/>
      <c r="N9" s="71"/>
      <c r="O9" s="46"/>
      <c r="P9" s="46"/>
      <c r="Q9" s="46"/>
      <c r="R9" s="46"/>
      <c r="S9" s="46"/>
      <c r="T9" s="46"/>
      <c r="U9" s="46"/>
      <c r="V9" s="46"/>
      <c r="W9" s="46"/>
      <c r="X9" s="43"/>
    </row>
    <row r="10" spans="2:24" ht="14.4" customHeight="1" x14ac:dyDescent="0.3">
      <c r="B10" s="42"/>
      <c r="C10" s="46"/>
      <c r="D10" s="46"/>
      <c r="E10" s="46"/>
      <c r="F10" s="78" t="s">
        <v>85</v>
      </c>
      <c r="G10" s="79"/>
      <c r="H10" s="80"/>
      <c r="I10" s="46"/>
      <c r="J10" s="46"/>
      <c r="K10" s="46"/>
      <c r="L10" s="78" t="s">
        <v>86</v>
      </c>
      <c r="M10" s="79"/>
      <c r="N10" s="80"/>
      <c r="O10" s="46"/>
      <c r="P10" s="46"/>
      <c r="Q10" s="46"/>
      <c r="R10" s="46"/>
      <c r="S10" s="46"/>
      <c r="T10" s="46"/>
      <c r="U10" s="46"/>
      <c r="V10" s="46"/>
      <c r="W10" s="46"/>
      <c r="X10" s="43"/>
    </row>
    <row r="11" spans="2:24" ht="15" customHeight="1" thickBot="1" x14ac:dyDescent="0.35">
      <c r="B11" s="42"/>
      <c r="C11" s="46"/>
      <c r="D11" s="46"/>
      <c r="E11" s="46"/>
      <c r="F11" s="81"/>
      <c r="G11" s="82"/>
      <c r="H11" s="83"/>
      <c r="I11" s="46"/>
      <c r="J11" s="46"/>
      <c r="K11" s="46"/>
      <c r="L11" s="81"/>
      <c r="M11" s="82"/>
      <c r="N11" s="83"/>
      <c r="O11" s="46"/>
      <c r="P11" s="46"/>
      <c r="Q11" s="46"/>
      <c r="R11" s="46"/>
      <c r="S11" s="46"/>
      <c r="T11" s="46"/>
      <c r="U11" s="46"/>
      <c r="V11" s="46"/>
      <c r="W11" s="46"/>
      <c r="X11" s="43"/>
    </row>
    <row r="12" spans="2:24" ht="15" thickBot="1" x14ac:dyDescent="0.35">
      <c r="B12" s="42"/>
      <c r="C12" s="46"/>
      <c r="D12" s="46"/>
      <c r="E12" s="46"/>
      <c r="F12" s="46"/>
      <c r="G12" s="46"/>
      <c r="H12" s="46"/>
      <c r="I12" s="46"/>
      <c r="J12" s="46"/>
      <c r="K12" s="46"/>
      <c r="L12" s="46"/>
      <c r="M12" s="46"/>
      <c r="N12" s="46"/>
      <c r="O12" s="46"/>
      <c r="P12" s="46"/>
      <c r="Q12" s="46"/>
      <c r="R12" s="46"/>
      <c r="S12" s="46"/>
      <c r="T12" s="46"/>
      <c r="U12" s="46"/>
      <c r="V12" s="46"/>
      <c r="W12" s="46"/>
      <c r="X12" s="43"/>
    </row>
    <row r="13" spans="2:24" ht="14.4" customHeight="1" x14ac:dyDescent="0.3">
      <c r="B13" s="42"/>
      <c r="C13" s="46"/>
      <c r="D13" s="46"/>
      <c r="E13" s="46"/>
      <c r="F13" s="46"/>
      <c r="G13" s="46"/>
      <c r="H13" s="46"/>
      <c r="I13" s="72">
        <f>GETPIVOTDATA("Quantity",'Sales Performance Analysis'!$H$12)/100</f>
        <v>4.064102564102564E-2</v>
      </c>
      <c r="J13" s="73"/>
      <c r="K13" s="74"/>
      <c r="L13" s="46"/>
      <c r="M13" s="46"/>
      <c r="N13" s="46"/>
      <c r="O13" s="46"/>
      <c r="P13" s="46"/>
      <c r="Q13" s="46"/>
      <c r="R13" s="46"/>
      <c r="S13" s="46"/>
      <c r="T13" s="46"/>
      <c r="U13" s="46"/>
      <c r="V13" s="46"/>
      <c r="W13" s="46"/>
      <c r="X13" s="43"/>
    </row>
    <row r="14" spans="2:24" ht="15" customHeight="1" thickBot="1" x14ac:dyDescent="0.35">
      <c r="B14" s="42"/>
      <c r="C14" s="46"/>
      <c r="D14" s="46"/>
      <c r="E14" s="46"/>
      <c r="F14" s="46"/>
      <c r="G14" s="46"/>
      <c r="H14" s="46"/>
      <c r="I14" s="75"/>
      <c r="J14" s="76"/>
      <c r="K14" s="77"/>
      <c r="L14" s="46"/>
      <c r="M14" s="46"/>
      <c r="N14" s="46"/>
      <c r="O14" s="46"/>
      <c r="P14" s="46"/>
      <c r="Q14" s="46"/>
      <c r="R14" s="46"/>
      <c r="S14" s="46"/>
      <c r="T14" s="46"/>
      <c r="U14" s="46"/>
      <c r="V14" s="46"/>
      <c r="W14" s="46"/>
      <c r="X14" s="43"/>
    </row>
    <row r="15" spans="2:24" ht="14.4" customHeight="1" x14ac:dyDescent="0.3">
      <c r="B15" s="42"/>
      <c r="C15" s="46"/>
      <c r="D15" s="46"/>
      <c r="E15" s="46"/>
      <c r="F15" s="46"/>
      <c r="G15" s="46"/>
      <c r="H15" s="46"/>
      <c r="I15" s="78" t="s">
        <v>87</v>
      </c>
      <c r="J15" s="79"/>
      <c r="K15" s="80"/>
      <c r="L15" s="46"/>
      <c r="M15" s="46"/>
      <c r="N15" s="46"/>
      <c r="O15" s="46"/>
      <c r="P15" s="46"/>
      <c r="Q15" s="46"/>
      <c r="R15" s="46"/>
      <c r="S15" s="46"/>
      <c r="T15" s="46"/>
      <c r="U15" s="46"/>
      <c r="V15" s="46"/>
      <c r="W15" s="46"/>
      <c r="X15" s="43"/>
    </row>
    <row r="16" spans="2:24" ht="15" customHeight="1" thickBot="1" x14ac:dyDescent="0.35">
      <c r="B16" s="42"/>
      <c r="C16" s="46"/>
      <c r="D16" s="46"/>
      <c r="E16" s="46"/>
      <c r="F16" s="46"/>
      <c r="G16" s="46"/>
      <c r="H16" s="46"/>
      <c r="I16" s="81"/>
      <c r="J16" s="82"/>
      <c r="K16" s="83"/>
      <c r="L16" s="46"/>
      <c r="M16" s="46"/>
      <c r="N16" s="46"/>
      <c r="O16" s="46"/>
      <c r="P16" s="46"/>
      <c r="Q16" s="46"/>
      <c r="R16" s="46"/>
      <c r="S16" s="46"/>
      <c r="T16" s="46"/>
      <c r="U16" s="46"/>
      <c r="V16" s="46"/>
      <c r="W16" s="46"/>
      <c r="X16" s="43"/>
    </row>
    <row r="17" spans="2:24" x14ac:dyDescent="0.3">
      <c r="B17" s="42"/>
      <c r="C17" s="46"/>
      <c r="D17" s="46"/>
      <c r="E17" s="46"/>
      <c r="F17" s="46"/>
      <c r="G17" s="46"/>
      <c r="H17" s="46"/>
      <c r="I17" s="46"/>
      <c r="J17" s="46"/>
      <c r="K17" s="46"/>
      <c r="L17" s="46"/>
      <c r="M17" s="46"/>
      <c r="N17" s="46"/>
      <c r="O17" s="46"/>
      <c r="P17" s="46"/>
      <c r="Q17" s="46"/>
      <c r="R17" s="46"/>
      <c r="S17" s="46"/>
      <c r="T17" s="46"/>
      <c r="U17" s="46"/>
      <c r="V17" s="46"/>
      <c r="W17" s="46"/>
      <c r="X17" s="43"/>
    </row>
    <row r="18" spans="2:24" x14ac:dyDescent="0.3">
      <c r="B18" s="42"/>
      <c r="C18" s="46"/>
      <c r="D18" s="46"/>
      <c r="E18" s="46"/>
      <c r="F18" s="46"/>
      <c r="G18" s="46"/>
      <c r="H18" s="46"/>
      <c r="I18" s="46"/>
      <c r="J18" s="46"/>
      <c r="K18" s="46"/>
      <c r="L18" s="46"/>
      <c r="M18" s="46"/>
      <c r="N18" s="46"/>
      <c r="O18" s="46"/>
      <c r="P18" s="46"/>
      <c r="Q18" s="46"/>
      <c r="R18" s="46"/>
      <c r="S18" s="46"/>
      <c r="T18" s="46"/>
      <c r="U18" s="46"/>
      <c r="V18" s="46"/>
      <c r="W18" s="46"/>
      <c r="X18" s="43"/>
    </row>
    <row r="19" spans="2:24" x14ac:dyDescent="0.3">
      <c r="B19" s="42"/>
      <c r="C19" s="46"/>
      <c r="D19" s="46"/>
      <c r="E19" s="46"/>
      <c r="F19" s="46"/>
      <c r="G19" s="46"/>
      <c r="H19" s="46"/>
      <c r="I19" s="46"/>
      <c r="J19" s="46"/>
      <c r="K19" s="46"/>
      <c r="L19" s="46"/>
      <c r="M19" s="46"/>
      <c r="N19" s="46"/>
      <c r="O19" s="46"/>
      <c r="P19" s="46"/>
      <c r="Q19" s="46"/>
      <c r="R19" s="46"/>
      <c r="S19" s="46"/>
      <c r="T19" s="46"/>
      <c r="U19" s="46"/>
      <c r="V19" s="46"/>
      <c r="W19" s="46"/>
      <c r="X19" s="43"/>
    </row>
    <row r="20" spans="2:24" x14ac:dyDescent="0.3">
      <c r="B20" s="42"/>
      <c r="C20" s="46"/>
      <c r="D20" s="46"/>
      <c r="E20" s="46"/>
      <c r="F20" s="46"/>
      <c r="G20" s="46"/>
      <c r="H20" s="46"/>
      <c r="I20" s="46"/>
      <c r="J20" s="46"/>
      <c r="K20" s="46"/>
      <c r="L20" s="46"/>
      <c r="M20" s="46"/>
      <c r="N20" s="46"/>
      <c r="O20" s="46"/>
      <c r="P20" s="46"/>
      <c r="Q20" s="46"/>
      <c r="R20" s="46"/>
      <c r="S20" s="46"/>
      <c r="T20" s="46"/>
      <c r="U20" s="46"/>
      <c r="V20" s="46"/>
      <c r="W20" s="46"/>
      <c r="X20" s="43"/>
    </row>
    <row r="21" spans="2:24" x14ac:dyDescent="0.3">
      <c r="B21" s="42"/>
      <c r="C21" s="46"/>
      <c r="D21" s="46"/>
      <c r="E21" s="46"/>
      <c r="F21" s="46"/>
      <c r="G21" s="46"/>
      <c r="H21" s="46"/>
      <c r="I21" s="46"/>
      <c r="J21" s="46"/>
      <c r="K21" s="46"/>
      <c r="L21" s="46"/>
      <c r="M21" s="46"/>
      <c r="N21" s="46"/>
      <c r="O21" s="46"/>
      <c r="P21" s="46"/>
      <c r="Q21" s="46"/>
      <c r="R21" s="46"/>
      <c r="S21" s="46"/>
      <c r="T21" s="46"/>
      <c r="U21" s="46"/>
      <c r="V21" s="46"/>
      <c r="W21" s="46"/>
      <c r="X21" s="43"/>
    </row>
    <row r="22" spans="2:24" x14ac:dyDescent="0.3">
      <c r="B22" s="42"/>
      <c r="C22" s="46"/>
      <c r="D22" s="46"/>
      <c r="E22" s="46"/>
      <c r="F22" s="46"/>
      <c r="G22" s="46"/>
      <c r="H22" s="46"/>
      <c r="I22" s="46"/>
      <c r="J22" s="46"/>
      <c r="K22" s="46"/>
      <c r="L22" s="46"/>
      <c r="M22" s="46"/>
      <c r="N22" s="46"/>
      <c r="O22" s="46"/>
      <c r="P22" s="46"/>
      <c r="Q22" s="46"/>
      <c r="R22" s="46"/>
      <c r="S22" s="46"/>
      <c r="T22" s="46"/>
      <c r="U22" s="46"/>
      <c r="V22" s="46"/>
      <c r="W22" s="46"/>
      <c r="X22" s="43"/>
    </row>
    <row r="23" spans="2:24" x14ac:dyDescent="0.3">
      <c r="B23" s="42"/>
      <c r="C23" s="46"/>
      <c r="D23" s="46"/>
      <c r="E23" s="46"/>
      <c r="F23" s="46"/>
      <c r="G23" s="46"/>
      <c r="H23" s="46"/>
      <c r="I23" s="46"/>
      <c r="J23" s="46"/>
      <c r="K23" s="46"/>
      <c r="L23" s="46"/>
      <c r="M23" s="46"/>
      <c r="N23" s="46"/>
      <c r="O23" s="46"/>
      <c r="P23" s="46"/>
      <c r="Q23" s="46"/>
      <c r="R23" s="46"/>
      <c r="S23" s="46"/>
      <c r="T23" s="46"/>
      <c r="U23" s="46"/>
      <c r="V23" s="46"/>
      <c r="W23" s="46"/>
      <c r="X23" s="43"/>
    </row>
    <row r="24" spans="2:24" x14ac:dyDescent="0.3">
      <c r="B24" s="42"/>
      <c r="C24" s="46"/>
      <c r="D24" s="46"/>
      <c r="E24" s="46"/>
      <c r="F24" s="46"/>
      <c r="G24" s="46"/>
      <c r="H24" s="46"/>
      <c r="I24" s="46"/>
      <c r="J24" s="46"/>
      <c r="K24" s="46"/>
      <c r="L24" s="46"/>
      <c r="M24" s="46"/>
      <c r="N24" s="46"/>
      <c r="O24" s="46"/>
      <c r="P24" s="46"/>
      <c r="Q24" s="46"/>
      <c r="R24" s="46"/>
      <c r="S24" s="46"/>
      <c r="T24" s="46"/>
      <c r="U24" s="46"/>
      <c r="V24" s="46"/>
      <c r="W24" s="46"/>
      <c r="X24" s="43"/>
    </row>
    <row r="25" spans="2:24" x14ac:dyDescent="0.3">
      <c r="B25" s="42"/>
      <c r="C25" s="46"/>
      <c r="D25" s="46"/>
      <c r="E25" s="46"/>
      <c r="F25" s="46"/>
      <c r="G25" s="46"/>
      <c r="H25" s="46"/>
      <c r="I25" s="46"/>
      <c r="J25" s="46"/>
      <c r="K25" s="46"/>
      <c r="L25" s="46"/>
      <c r="M25" s="46"/>
      <c r="N25" s="46"/>
      <c r="O25" s="46"/>
      <c r="P25" s="46"/>
      <c r="Q25" s="46"/>
      <c r="R25" s="46"/>
      <c r="S25" s="46"/>
      <c r="T25" s="46"/>
      <c r="U25" s="46"/>
      <c r="V25" s="46"/>
      <c r="W25" s="46"/>
      <c r="X25" s="43"/>
    </row>
    <row r="26" spans="2:24" x14ac:dyDescent="0.3">
      <c r="B26" s="42"/>
      <c r="C26" s="46"/>
      <c r="D26" s="46"/>
      <c r="E26" s="46"/>
      <c r="F26" s="46"/>
      <c r="G26" s="46"/>
      <c r="H26" s="46"/>
      <c r="I26" s="46"/>
      <c r="J26" s="46"/>
      <c r="K26" s="46"/>
      <c r="L26" s="46"/>
      <c r="M26" s="46"/>
      <c r="N26" s="46"/>
      <c r="O26" s="46"/>
      <c r="P26" s="46"/>
      <c r="Q26" s="46"/>
      <c r="R26" s="46"/>
      <c r="S26" s="46"/>
      <c r="T26" s="46"/>
      <c r="U26" s="46"/>
      <c r="V26" s="46"/>
      <c r="W26" s="46"/>
      <c r="X26" s="43"/>
    </row>
    <row r="27" spans="2:24" x14ac:dyDescent="0.3">
      <c r="B27" s="42"/>
      <c r="C27" s="46"/>
      <c r="D27" s="46"/>
      <c r="E27" s="46"/>
      <c r="F27" s="46"/>
      <c r="G27" s="46"/>
      <c r="H27" s="46"/>
      <c r="I27" s="46"/>
      <c r="J27" s="46"/>
      <c r="K27" s="46"/>
      <c r="L27" s="46"/>
      <c r="M27" s="46"/>
      <c r="N27" s="46"/>
      <c r="O27" s="46"/>
      <c r="P27" s="46"/>
      <c r="Q27" s="46"/>
      <c r="R27" s="46"/>
      <c r="S27" s="46"/>
      <c r="T27" s="46"/>
      <c r="U27" s="46"/>
      <c r="V27" s="46"/>
      <c r="W27" s="46"/>
      <c r="X27" s="43"/>
    </row>
    <row r="28" spans="2:24" x14ac:dyDescent="0.3">
      <c r="B28" s="42"/>
      <c r="C28" s="46"/>
      <c r="D28" s="46"/>
      <c r="E28" s="46"/>
      <c r="F28" s="46"/>
      <c r="G28" s="46"/>
      <c r="H28" s="46"/>
      <c r="I28" s="46"/>
      <c r="J28" s="46"/>
      <c r="K28" s="46"/>
      <c r="L28" s="46"/>
      <c r="M28" s="46"/>
      <c r="N28" s="46"/>
      <c r="O28" s="46"/>
      <c r="P28" s="46"/>
      <c r="Q28" s="46"/>
      <c r="R28" s="46"/>
      <c r="S28" s="46"/>
      <c r="T28" s="46"/>
      <c r="U28" s="46"/>
      <c r="V28" s="46"/>
      <c r="W28" s="46"/>
      <c r="X28" s="43"/>
    </row>
    <row r="29" spans="2:24" x14ac:dyDescent="0.3">
      <c r="B29" s="42"/>
      <c r="C29" s="46"/>
      <c r="D29" s="46"/>
      <c r="E29" s="46"/>
      <c r="F29" s="46"/>
      <c r="G29" s="46"/>
      <c r="H29" s="46"/>
      <c r="I29" s="46"/>
      <c r="J29" s="46"/>
      <c r="K29" s="46"/>
      <c r="L29" s="46"/>
      <c r="M29" s="46"/>
      <c r="N29" s="46"/>
      <c r="O29" s="46"/>
      <c r="P29" s="46"/>
      <c r="Q29" s="46"/>
      <c r="R29" s="46"/>
      <c r="S29" s="46"/>
      <c r="T29" s="46"/>
      <c r="U29" s="46"/>
      <c r="V29" s="46"/>
      <c r="W29" s="46"/>
      <c r="X29" s="43"/>
    </row>
    <row r="30" spans="2:24" x14ac:dyDescent="0.3">
      <c r="B30" s="42"/>
      <c r="C30" s="46"/>
      <c r="D30" s="46"/>
      <c r="E30" s="46"/>
      <c r="F30" s="46"/>
      <c r="G30" s="46"/>
      <c r="H30" s="46"/>
      <c r="I30" s="46"/>
      <c r="J30" s="46"/>
      <c r="K30" s="46"/>
      <c r="L30" s="46"/>
      <c r="M30" s="46"/>
      <c r="N30" s="46"/>
      <c r="O30" s="46"/>
      <c r="P30" s="46"/>
      <c r="Q30" s="46"/>
      <c r="R30" s="46"/>
      <c r="S30" s="46"/>
      <c r="T30" s="46"/>
      <c r="U30" s="46"/>
      <c r="V30" s="46"/>
      <c r="W30" s="46"/>
      <c r="X30" s="43"/>
    </row>
    <row r="31" spans="2:24" x14ac:dyDescent="0.3">
      <c r="B31" s="42"/>
      <c r="C31" s="46"/>
      <c r="D31" s="46"/>
      <c r="E31" s="46"/>
      <c r="F31" s="46"/>
      <c r="G31" s="46"/>
      <c r="H31" s="46"/>
      <c r="I31" s="46"/>
      <c r="J31" s="46"/>
      <c r="K31" s="46"/>
      <c r="L31" s="46"/>
      <c r="M31" s="46"/>
      <c r="N31" s="46"/>
      <c r="O31" s="46"/>
      <c r="P31" s="46"/>
      <c r="Q31" s="46"/>
      <c r="R31" s="46"/>
      <c r="S31" s="46"/>
      <c r="T31" s="46"/>
      <c r="U31" s="46"/>
      <c r="V31" s="46"/>
      <c r="W31" s="46"/>
      <c r="X31" s="43"/>
    </row>
    <row r="32" spans="2:24" ht="15" thickBot="1" x14ac:dyDescent="0.35">
      <c r="B32" s="44"/>
      <c r="C32" s="45"/>
      <c r="D32" s="45"/>
      <c r="E32" s="45"/>
      <c r="F32" s="45"/>
      <c r="G32" s="45"/>
      <c r="H32" s="45"/>
      <c r="I32" s="45"/>
      <c r="J32" s="45"/>
      <c r="K32" s="45"/>
      <c r="L32" s="45"/>
      <c r="M32" s="45"/>
      <c r="N32" s="45"/>
      <c r="O32" s="45"/>
      <c r="P32" s="45"/>
      <c r="Q32" s="64" t="s">
        <v>88</v>
      </c>
      <c r="R32" s="64"/>
      <c r="S32" s="64"/>
      <c r="T32" s="64"/>
      <c r="U32" s="64"/>
      <c r="V32" s="64"/>
      <c r="W32" s="64"/>
      <c r="X32" s="65"/>
    </row>
  </sheetData>
  <mergeCells count="7">
    <mergeCell ref="Q32:X32"/>
    <mergeCell ref="L8:N9"/>
    <mergeCell ref="F8:H9"/>
    <mergeCell ref="I13:K14"/>
    <mergeCell ref="F10:H11"/>
    <mergeCell ref="L10:N11"/>
    <mergeCell ref="I15:K1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AF720-28EE-4040-9501-2502262AC38F}">
  <dimension ref="B1:Q16"/>
  <sheetViews>
    <sheetView workbookViewId="0">
      <selection activeCell="K19" sqref="K19"/>
    </sheetView>
  </sheetViews>
  <sheetFormatPr defaultRowHeight="14.4" x14ac:dyDescent="0.3"/>
  <sheetData>
    <row r="1" spans="2:17" ht="15" thickBot="1" x14ac:dyDescent="0.35"/>
    <row r="2" spans="2:17" ht="14.4" customHeight="1" x14ac:dyDescent="0.3">
      <c r="B2" s="85" t="s">
        <v>99</v>
      </c>
      <c r="C2" s="86"/>
      <c r="D2" s="86"/>
      <c r="E2" s="86"/>
      <c r="F2" s="86"/>
      <c r="G2" s="86"/>
      <c r="H2" s="86"/>
      <c r="I2" s="86"/>
      <c r="J2" s="86"/>
      <c r="K2" s="86"/>
      <c r="L2" s="86"/>
      <c r="M2" s="86"/>
      <c r="N2" s="86"/>
      <c r="O2" s="86"/>
      <c r="P2" s="86"/>
      <c r="Q2" s="87"/>
    </row>
    <row r="3" spans="2:17" ht="15" customHeight="1" thickBot="1" x14ac:dyDescent="0.35">
      <c r="B3" s="88"/>
      <c r="C3" s="89"/>
      <c r="D3" s="89"/>
      <c r="E3" s="89"/>
      <c r="F3" s="89"/>
      <c r="G3" s="89"/>
      <c r="H3" s="89"/>
      <c r="I3" s="89"/>
      <c r="J3" s="89"/>
      <c r="K3" s="89"/>
      <c r="L3" s="89"/>
      <c r="M3" s="89"/>
      <c r="N3" s="89"/>
      <c r="O3" s="89"/>
      <c r="P3" s="89"/>
      <c r="Q3" s="90"/>
    </row>
    <row r="4" spans="2:17" x14ac:dyDescent="0.3">
      <c r="B4" s="47"/>
      <c r="Q4" s="48"/>
    </row>
    <row r="5" spans="2:17" x14ac:dyDescent="0.3">
      <c r="B5" s="47"/>
      <c r="C5" t="s">
        <v>89</v>
      </c>
      <c r="I5" s="91" t="s">
        <v>94</v>
      </c>
      <c r="J5" s="91"/>
      <c r="K5" s="91"/>
      <c r="L5" s="91"/>
      <c r="M5" s="91"/>
      <c r="N5" s="91"/>
      <c r="O5" s="91"/>
      <c r="P5" s="91"/>
      <c r="Q5" s="48"/>
    </row>
    <row r="6" spans="2:17" ht="15.6" x14ac:dyDescent="0.3">
      <c r="B6" s="47"/>
      <c r="J6" s="49"/>
      <c r="Q6" s="48"/>
    </row>
    <row r="7" spans="2:17" x14ac:dyDescent="0.3">
      <c r="B7" s="47"/>
      <c r="C7" t="s">
        <v>90</v>
      </c>
      <c r="I7" s="91" t="s">
        <v>95</v>
      </c>
      <c r="J7" s="91"/>
      <c r="K7" s="91"/>
      <c r="L7" s="91"/>
      <c r="M7" s="91"/>
      <c r="N7" s="91"/>
      <c r="O7" s="91"/>
      <c r="P7" s="91"/>
      <c r="Q7" s="48"/>
    </row>
    <row r="8" spans="2:17" x14ac:dyDescent="0.3">
      <c r="B8" s="47"/>
      <c r="Q8" s="48"/>
    </row>
    <row r="9" spans="2:17" x14ac:dyDescent="0.3">
      <c r="B9" s="47"/>
      <c r="C9" t="s">
        <v>91</v>
      </c>
      <c r="I9" s="91" t="s">
        <v>96</v>
      </c>
      <c r="J9" s="91"/>
      <c r="K9" s="91"/>
      <c r="L9" s="91"/>
      <c r="M9" s="91"/>
      <c r="N9" s="91"/>
      <c r="O9" s="91"/>
      <c r="P9" s="91"/>
      <c r="Q9" s="48"/>
    </row>
    <row r="10" spans="2:17" x14ac:dyDescent="0.3">
      <c r="B10" s="47"/>
      <c r="N10" s="50"/>
      <c r="Q10" s="48"/>
    </row>
    <row r="11" spans="2:17" x14ac:dyDescent="0.3">
      <c r="B11" s="47"/>
      <c r="C11" t="s">
        <v>92</v>
      </c>
      <c r="I11" s="91" t="s">
        <v>97</v>
      </c>
      <c r="J11" s="91"/>
      <c r="K11" s="91"/>
      <c r="L11" s="91"/>
      <c r="M11" s="91"/>
      <c r="N11" s="91"/>
      <c r="O11" s="91"/>
      <c r="P11" s="91"/>
      <c r="Q11" s="48"/>
    </row>
    <row r="12" spans="2:17" x14ac:dyDescent="0.3">
      <c r="B12" s="47"/>
      <c r="N12" s="50"/>
      <c r="Q12" s="48"/>
    </row>
    <row r="13" spans="2:17" ht="14.4" customHeight="1" x14ac:dyDescent="0.3">
      <c r="B13" s="47"/>
      <c r="C13" t="s">
        <v>93</v>
      </c>
      <c r="I13" s="84" t="s">
        <v>98</v>
      </c>
      <c r="J13" s="84"/>
      <c r="K13" s="84"/>
      <c r="L13" s="84"/>
      <c r="M13" s="84"/>
      <c r="N13" s="84"/>
      <c r="O13" s="84"/>
      <c r="P13" s="84"/>
      <c r="Q13" s="48"/>
    </row>
    <row r="14" spans="2:17" x14ac:dyDescent="0.3">
      <c r="B14" s="47"/>
      <c r="I14" s="84"/>
      <c r="J14" s="84"/>
      <c r="K14" s="84"/>
      <c r="L14" s="84"/>
      <c r="M14" s="84"/>
      <c r="N14" s="84"/>
      <c r="O14" s="84"/>
      <c r="P14" s="84"/>
      <c r="Q14" s="48"/>
    </row>
    <row r="15" spans="2:17" x14ac:dyDescent="0.3">
      <c r="B15" s="47"/>
      <c r="Q15" s="48"/>
    </row>
    <row r="16" spans="2:17" ht="15" thickBot="1" x14ac:dyDescent="0.35">
      <c r="B16" s="51"/>
      <c r="C16" s="52"/>
      <c r="D16" s="52"/>
      <c r="E16" s="52"/>
      <c r="F16" s="52"/>
      <c r="G16" s="52"/>
      <c r="H16" s="52"/>
      <c r="I16" s="52"/>
      <c r="J16" s="52"/>
      <c r="K16" s="52"/>
      <c r="L16" s="52"/>
      <c r="M16" s="52"/>
      <c r="N16" s="52"/>
      <c r="O16" s="52"/>
      <c r="P16" s="52"/>
      <c r="Q16" s="53"/>
    </row>
  </sheetData>
  <mergeCells count="6">
    <mergeCell ref="I13:P14"/>
    <mergeCell ref="B2:Q3"/>
    <mergeCell ref="I7:P7"/>
    <mergeCell ref="I9:P9"/>
    <mergeCell ref="I5:P5"/>
    <mergeCell ref="I11:P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Sales Performance Analysis</vt:lpstr>
      <vt:lpstr>Monthly Trend Analysis</vt:lpstr>
      <vt:lpstr>Regional &amp; Country Analysis</vt:lpstr>
      <vt:lpstr>Salesperson Performance</vt:lpstr>
      <vt:lpstr>Product &amp; Category Insights</vt:lpstr>
      <vt:lpstr>Sales Performance Dashboard</vt:lpstr>
      <vt:lpstr>Business 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Sneha Bhokare</cp:lastModifiedBy>
  <dcterms:created xsi:type="dcterms:W3CDTF">2026-01-04T10:58:47Z</dcterms:created>
  <dcterms:modified xsi:type="dcterms:W3CDTF">2026-07-02T07:58:31Z</dcterms:modified>
</cp:coreProperties>
</file>